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c748603be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5aaf7cc20b524d5a"/>
    <x:sheet xmlns:r="http://schemas.openxmlformats.org/officeDocument/2006/relationships" name="Operating Model" sheetId="2" r:id="Rd80c595f323e4a1c"/>
    <x:sheet xmlns:r="http://schemas.openxmlformats.org/officeDocument/2006/relationships" name="Banking Revenue" sheetId="3" r:id="Re9b574c43b004e55"/>
    <x:sheet xmlns:r="http://schemas.openxmlformats.org/officeDocument/2006/relationships" name="Costs" sheetId="4" r:id="R0b729b197d854003"/>
    <x:sheet xmlns:r="http://schemas.openxmlformats.org/officeDocument/2006/relationships" name="P&amp;L" sheetId="5" r:id="R3732c57350514c79"/>
    <x:sheet xmlns:r="http://schemas.openxmlformats.org/officeDocument/2006/relationships" name="Cash Flow" sheetId="6" r:id="R0c007d66006b4975"/>
    <x:sheet xmlns:r="http://schemas.openxmlformats.org/officeDocument/2006/relationships" name="DCF" sheetId="7" r:id="R9da458cdb9a9446b"/>
    <x:sheet xmlns:r="http://schemas.openxmlformats.org/officeDocument/2006/relationships" name="Scenarios" sheetId="8" r:id="Rd375805e7c0c4be2"/>
    <x:sheet xmlns:r="http://schemas.openxmlformats.org/officeDocument/2006/relationships" name="Summary" sheetId="9" r:id="R21a2d532d8a24896"/>
    <x:sheet xmlns:r="http://schemas.openxmlformats.org/officeDocument/2006/relationships" name="Связи модели" sheetId="10" r:id="Rb29a189520514fba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B89" authorId="0">
      <x:text>
        <x:r>
          <x:t>Фиксированная часть не является только стоимостью токенов: включает API gateway, vector database, monitoring, storage и резерв мощности.</x:t>
        </x:r>
      </x:text>
    </x:comment>
    <x:comment ref="B90" authorId="0">
      <x:text>
        <x:r>
          <x:t>Проверено по официальному прайсу Alibaba Model Studio. Ставка 1,5 ₽/MAU содержит запас для гибридной маршрутизации Qwen/Kimi и коротких генераций. https://help.aliyun.com/en/model-studio/model-pricing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<x:sst xmlns:x="http://schemas.openxmlformats.org/spreadsheetml/2006/main">
  <x:si>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Assumptions</x:t>
  </x:si>
  <x:si>
    <x:t xml:space="preserve">Общие допущения</x:t>
  </x:si>
  <x:si>
    <x:t xml:space="preserve">Значение</x:t>
  </x:si>
  <x:si>
    <x:t xml:space="preserve">Источник</x:t>
  </x:si>
  <x:si>
    <x:t xml:space="preserve">TAM: россияне 17–25 лет</x:t>
  </x:si>
  <x:si>
    <x:t xml:space="preserve">Росстат / РБК</x:t>
  </x:si>
  <x:si>
    <x:t xml:space="preserve">SAM: молодые ИП + обучающиеся </x:t>
  </x:si>
  <x:si>
    <x:t xml:space="preserve">Минобрнауки / Минэкономразвития / РБК</x:t>
  </x:si>
  <x:si>
    <x:t xml:space="preserve">SOM первого года</x:t>
  </x:si>
  <x:si>
    <x:t xml:space="preserve">Анализ команды</x:t>
  </x:si>
  <x:si>
    <x:t xml:space="preserve">SOM первого года, пользователей</x:t>
  </x:si>
  <x:si>
    <x:t xml:space="preserve">Регистрации специалистов в М1</x:t>
  </x:si>
  <x:si>
    <x:t xml:space="preserve">Регистрации фаундеров / бизнеса в М1</x:t>
  </x:si>
  <x:si>
    <x:t xml:space="preserve">Рост новых регистраций в месяц — Год 1</x:t>
  </x:si>
  <x:si>
    <x:t xml:space="preserve">Рост регистраций, Год 2</x:t>
  </x:si>
  <x:si>
    <x:t xml:space="preserve">Активация специалистов</x:t>
  </x:si>
  <x:si>
    <x:t xml:space="preserve">Активация фаундеров</x:t>
  </x:si>
  <x:si>
    <x:t xml:space="preserve">Месячный churn специалистов</x:t>
  </x:si>
  <x:si>
    <x:t xml:space="preserve">Месячный churn фаундеров</x:t>
  </x:si>
  <x:si>
    <x:t xml:space="preserve">Действий специалиста в месяц</x:t>
  </x:si>
  <x:si>
    <x:t xml:space="preserve">Приглашений на один проект в месяц</x:t>
  </x:si>
  <x:si>
    <x:t xml:space="preserve">Match rate</x:t>
  </x:si>
  <x:si>
    <x:t xml:space="preserve">Обновлённая гипотеза команды</x:t>
  </x:si>
  <x:si>
    <x:t xml:space="preserve">Мэтч → чат</x:t>
  </x:si>
  <x:si>
    <x:t xml:space="preserve">Чат → команда</x:t>
  </x:si>
  <x:si>
    <x:t xml:space="preserve">Команда → запуск / MVP</x:t>
  </x:si>
  <x:si>
    <x:t xml:space="preserve">Лаг от команды до MVP</x:t>
  </x:si>
  <x:si>
    <x:t xml:space="preserve">MVP уже включает счёт Альфы</x:t>
  </x:si>
  <x:si>
    <x:t xml:space="preserve">Продуктовая логика: это не отдельный этап конверсии</x:t>
  </x:si>
  <x:si>
    <x:t xml:space="preserve">MVP / счёт Альфы → платёжный клиент</x:t>
  </x:si>
  <x:si>
    <x:t xml:space="preserve">Доля действующего бизнеса среди фаундеров</x:t>
  </x:si>
  <x:si>
    <x:t xml:space="preserve">Доля действующего бизнеса не в Альфе</x:t>
  </x:si>
  <x:si>
    <x:t xml:space="preserve">Действующий бизнес → платежные сервисы Альфы</x:t>
  </x:si>
  <x:si>
    <x:t xml:space="preserve">Churn активных счетов</x:t>
  </x:si>
  <x:si>
    <x:t xml:space="preserve">Churn платежных клиентов</x:t>
  </x:si>
  <x:si>
    <x:t xml:space="preserve">Net-доход РКО на активный счет</x:t>
  </x:si>
  <x:si>
    <x:t xml:space="preserve">Net-доход платежных сервисов на клиента</x:t>
  </x:si>
  <x:si>
    <x:t xml:space="preserve">Разовая разработка до запуска</x:t>
  </x:si>
  <x:si>
    <x:t xml:space="preserve">Команда М1–М6</x:t>
  </x:si>
  <x:si>
    <x:t xml:space="preserve">Команда М7–М12</x:t>
  </x:si>
  <x:si>
    <x:t xml:space="preserve">Команда М13–М24</x:t>
  </x:si>
  <x:si>
    <x:t xml:space="preserve">Blended CAC</x:t>
  </x:si>
  <x:si>
    <x:t xml:space="preserve">Маркетинговый бюджет М1</x:t>
  </x:si>
  <x:si>
    <x:t xml:space="preserve">Маркетинговый бюджет Год 1 (target)</x:t>
  </x:si>
  <x:si>
    <x:t xml:space="preserve">Маркетинговый бюджет Год 2</x:t>
  </x:si>
  <x:si>
    <x:t xml:space="preserve">Медиаинфляция в месяц</x:t>
  </x:si>
  <x:si>
    <x:t xml:space="preserve">Доля реферального канала</x:t>
  </x:si>
  <x:si>
    <x:t xml:space="preserve">Базовая инфраструктура</x:t>
  </x:si>
  <x:si>
    <x:t xml:space="preserve">Переменные расходы на MAU</x:t>
  </x:si>
  <x:si>
    <x:t xml:space="preserve">Blended CAC override (optional)</x:t>
  </x:si>
  <x:si>
    <x:t xml:space="preserve">Оставьте пустым: модель рассчитает CAC из бюджета B38/B39</x:t>
  </x:si>
  <x:si>
    <x:t xml:space="preserve">Допущения для расчета CAC</x:t>
  </x:si>
  <x:si>
    <x:t xml:space="preserve">Собственные каналы Альфы — доля</x:t>
  </x:si>
  <x:si>
    <x:t xml:space="preserve">Собственные каналы Альфы — стоимость контакта, ₽</x:t>
  </x:si>
  <x:si>
    <x:t xml:space="preserve">Собственные каналы Альфы — контакт → регистрация</x:t>
  </x:si>
  <x:si>
    <x:t xml:space="preserve">Вузы и партнерства — доля</x:t>
  </x:si>
  <x:si>
    <x:t xml:space="preserve">Вузы и партнерства — стоимость контакта, ₽</x:t>
  </x:si>
  <x:si>
    <x:t xml:space="preserve">Вузы и партнерства — контакт → регистрация</x:t>
  </x:si>
  <x:si>
    <x:t xml:space="preserve">Реферальная программа — доля</x:t>
  </x:si>
  <x:si>
    <x:t xml:space="preserve">Реферальная программа — reward, ₽</x:t>
  </x:si>
  <x:si>
    <x:t xml:space="preserve">Реферальная программа — валидная регистрация</x:t>
  </x:si>
  <x:si>
    <x:t xml:space="preserve">VK Ads — доля</x:t>
  </x:si>
  <x:si>
    <x:t xml:space="preserve">VK Ads — CPC, ₽</x:t>
  </x:si>
  <x:si>
    <x:t xml:space="preserve">TexTerra / Click.ru</x:t>
  </x:si>
  <x:si>
    <x:t xml:space="preserve">VK Ads — click → registration</x:t>
  </x:si>
  <x:si>
    <x:t xml:space="preserve">Telegram / бизнес-каналы — доля</x:t>
  </x:si>
  <x:si>
    <x:t xml:space="preserve">Telegram / бизнес-каналы — CPC, ₽</x:t>
  </x:si>
  <x:si>
    <x:t xml:space="preserve">PPC World</x:t>
  </x:si>
  <x:si>
    <x:t xml:space="preserve">Telegram / бизнес-каналы — click → registration</x:t>
  </x:si>
  <x:si>
    <x:t xml:space="preserve">Яндекс / performance — доля</x:t>
  </x:si>
  <x:si>
    <x:t xml:space="preserve">Яндекс / performance — CPC, ₽</x:t>
  </x:si>
  <x:si>
    <x:t xml:space="preserve">Яндекс / performance — click → registration</x:t>
  </x:si>
  <x:si>
    <x:t xml:space="preserve">Комиссия / управление кампанией</x:t>
  </x:si>
  <x:si>
    <x:t xml:space="preserve">Невалидные регистрации / fraud</x:t>
  </x:si>
  <x:si>
    <x:t xml:space="preserve">Downside multiplier к CAC</x:t>
  </x:si>
  <x:si>
    <x:t xml:space="preserve">Upside multiplier к CAC</x:t>
  </x:si>
  <x:si>
    <x:t xml:space="preserve">Последний месяц команды — этап 1</x:t>
  </x:si>
  <x:si>
    <x:t xml:space="preserve">Последний месяц команды — этап 2</x:t>
  </x:si>
  <x:si>
    <x:t xml:space="preserve">Налог на прибыль</x:t>
  </x:si>
  <x:si>
    <x:t xml:space="preserve">Финансовые допущения</x:t>
  </x:si>
  <x:si>
    <x:t xml:space="preserve">Ставка дисконтирования</x:t>
  </x:si>
  <x:si>
    <x:t xml:space="preserve">Амортизация разработки, мес.</x:t>
  </x:si>
  <x:si>
    <x:t xml:space="preserve">Месяц оплаты CAPEX</x:t>
  </x:si>
  <x:si>
    <x:t xml:space="preserve">Сценарные допущения</x:t>
  </x:si>
  <x:si>
    <x:t xml:space="preserve">Показатель</x:t>
  </x:si>
  <x:si>
    <x:t xml:space="preserve">Пессимистичный</x:t>
  </x:si>
  <x:si>
    <x:t xml:space="preserve">Базовый</x:t>
  </x:si>
  <x:si>
    <x:t xml:space="preserve">Оптимистичный</x:t>
  </x:si>
  <x:si>
    <x:t xml:space="preserve">Комментарий</x:t>
  </x:si>
  <x:si>
    <x:t xml:space="preserve">RKO revenue multiplier</x:t>
  </x:si>
  <x:si>
    <x:t xml:space="preserve">Анализ команды — доход РКО</x:t>
  </x:si>
  <x:si>
    <x:t xml:space="preserve">Payments revenue multiplier</x:t>
  </x:si>
  <x:si>
    <x:t xml:space="preserve">Анализ команды — доход платежей</x:t>
  </x:si>
  <x:si>
    <x:t xml:space="preserve">Team cost multiplier</x:t>
  </x:si>
  <x:si>
    <x:t xml:space="preserve">Анализ команды — эффективность команды</x:t>
  </x:si>
  <x:si>
    <x:t xml:space="preserve">Marketing cost multiplier</x:t>
  </x:si>
  <x:si>
    <x:t xml:space="preserve">Анализ команды — эффективность acquisition</x:t>
  </x:si>
  <x:si>
    <x:t xml:space="preserve">Infrastructure cost multiplier</x:t>
  </x:si>
  <x:si>
    <x:t xml:space="preserve">Анализ команды — масштабирование инфраструктуры</x:t>
  </x:si>
  <x:si>
    <x:t xml:space="preserve">CAPEX multiplier</x:t>
  </x:si>
  <x:si>
    <x:t xml:space="preserve">Анализ команды — сложность разработки</x:t>
  </x:si>
  <x:si>
    <x:t xml:space="preserve">Terminal growth rate</x:t>
  </x:si>
  <x:si>
    <x:t xml:space="preserve">Анализ команды — долгосрочный рост</x:t>
  </x:si>
  <x:si>
    <x:t xml:space="preserve">AI Infrastructure Costs</x:t>
  </x:si>
  <x:si>
    <x:t xml:space="preserve">Параметр</x:t>
  </x:si>
  <x:si>
    <x:t xml:space="preserve">Источник / логика</x:t>
  </x:si>
  <x:si>
    <x:t xml:space="preserve">AI fixed monthly cost</x:t>
  </x:si>
  <x:si>
    <x:t xml:space="preserve">Оценка команды</x:t>
  </x:si>
  <x:si>
    <x:t xml:space="preserve">AI variable cost per MAU</x:t>
  </x:si>
  <x:si>
    <x:t xml:space="preserve">Qwen/Kimi; короткие AI-функции</x:t>
  </x:si>
  <x:si>
    <x:t xml:space="preserve">AI development cost</x:t>
  </x:si>
  <x:si>
    <x:t xml:space="preserve">AI cost growth</x:t>
  </x:si>
  <x:si>
    <x:t xml:space="preserve">Индексация Год 2</x:t>
  </x:si>
  <x:si>
    <x:t xml:space="preserve">Revenue chain control</x:t>
  </x:si>
  <x:si>
    <x:t xml:space="preserve">Model integrity check; expected 0</x:t>
  </x:si>
  <x:si>
    <x:t xml:space="preserve">OPEX chain control</x:t>
  </x:si>
  <x:si>
    <x:t xml:space="preserve">AI cost chain control</x:t>
  </x:si>
  <x:si>
    <x:t xml:space="preserve">Scenario chain control</x:t>
  </x:si>
  <x:si>
    <x:t xml:space="preserve">Summary chain control</x:t>
  </x:si>
  <x:si>
    <x:t xml:space="preserve">Operating Model</x:t>
  </x:si>
  <x:si>
    <x:t xml:space="preserve">М1</x:t>
  </x:si>
  <x:si>
    <x:t xml:space="preserve">М2</x:t>
  </x:si>
  <x:si>
    <x:t xml:space="preserve">М3</x:t>
  </x:si>
  <x:si>
    <x:t xml:space="preserve">М4</x:t>
  </x:si>
  <x:si>
    <x:t xml:space="preserve">М5</x:t>
  </x:si>
  <x:si>
    <x:t xml:space="preserve">М6</x:t>
  </x:si>
  <x:si>
    <x:t xml:space="preserve">М7</x:t>
  </x:si>
  <x:si>
    <x:t xml:space="preserve">М8</x:t>
  </x:si>
  <x:si>
    <x:t xml:space="preserve">М9</x:t>
  </x:si>
  <x:si>
    <x:t xml:space="preserve">М10</x:t>
  </x:si>
  <x:si>
    <x:t xml:space="preserve">М11</x:t>
  </x:si>
  <x:si>
    <x:t xml:space="preserve">М12</x:t>
  </x:si>
  <x:si>
    <x:t xml:space="preserve">М13</x:t>
  </x:si>
  <x:si>
    <x:t xml:space="preserve">М14</x:t>
  </x:si>
  <x:si>
    <x:t xml:space="preserve">М15</x:t>
  </x:si>
  <x:si>
    <x:t xml:space="preserve">М16</x:t>
  </x:si>
  <x:si>
    <x:t xml:space="preserve">М17</x:t>
  </x:si>
  <x:si>
    <x:t xml:space="preserve">М18</x:t>
  </x:si>
  <x:si>
    <x:t xml:space="preserve">М19</x:t>
  </x:si>
  <x:si>
    <x:t xml:space="preserve">М20</x:t>
  </x:si>
  <x:si>
    <x:t xml:space="preserve">М21</x:t>
  </x:si>
  <x:si>
    <x:t xml:space="preserve">М22</x:t>
  </x:si>
  <x:si>
    <x:t xml:space="preserve">М23</x:t>
  </x:si>
  <x:si>
    <x:t xml:space="preserve">М24</x:t>
  </x:si>
  <x:si>
    <x:t xml:space="preserve">Год 1</x:t>
  </x:si>
  <x:si>
    <x:t xml:space="preserve">Год 2</x:t>
  </x:si>
  <x:si>
    <x:t xml:space="preserve">1. Acquisition</x:t>
  </x:si>
  <x:si>
    <x:t xml:space="preserve">Новые регистрации специалистов</x:t>
  </x:si>
  <x:si>
    <x:t xml:space="preserve">Новые регистрации фаундеров / бизнеса</x:t>
  </x:si>
  <x:si>
    <x:t xml:space="preserve">Всего новых регистраций</x:t>
  </x:si>
  <x:si>
    <x:t xml:space="preserve">Накопленные регистрации специалистов</x:t>
  </x:si>
  <x:si>
    <x:t xml:space="preserve">Накопленные регистрации фаундеров</x:t>
  </x:si>
  <x:si>
    <x:t xml:space="preserve">2. Activation and Active User Base</x:t>
  </x:si>
  <x:si>
    <x:t xml:space="preserve">Новые активированные специалисты</x:t>
  </x:si>
  <x:si>
    <x:t xml:space="preserve">Новые активированные фаундеры</x:t>
  </x:si>
  <x:si>
    <x:t xml:space="preserve">MAU специалистов</x:t>
  </x:si>
  <x:si>
    <x:t xml:space="preserve">MAU фаундеров</x:t>
  </x:si>
  <x:si>
    <x:t xml:space="preserve">Всего MAU</x:t>
  </x:si>
  <x:si>
    <x:t xml:space="preserve">3. Marketplace Activity</x:t>
  </x:si>
  <x:si>
    <x:t xml:space="preserve">Действия специалистов</x:t>
  </x:si>
  <x:si>
    <x:t xml:space="preserve">Приглашения фаундеров</x:t>
  </x:si>
  <x:si>
    <x:t xml:space="preserve">Доступные взаимодействия (min)</x:t>
  </x:si>
  <x:si>
    <x:t xml:space="preserve">Мэтчи</x:t>
  </x:si>
  <x:si>
    <x:t xml:space="preserve">Начатые чаты</x:t>
  </x:si>
  <x:si>
    <x:t xml:space="preserve">Созданные команды</x:t>
  </x:si>
  <x:si>
    <x:t xml:space="preserve">4. MVP Funnel</x:t>
  </x:si>
  <x:si>
    <x:t xml:space="preserve">Команды с учетом лага</x:t>
  </x:si>
  <x:si>
    <x:t xml:space="preserve">Новые MVP / запуски</x:t>
  </x:si>
  <x:si>
    <x:t xml:space="preserve">Накопленные MVP</x:t>
  </x:si>
  <x:si>
    <x:t xml:space="preserve">5. Banking Funnel — MVP и платёжные клиенты</x:t>
  </x:si>
  <x:si>
    <x:t xml:space="preserve">Новые MVP / счета Альфы</x:t>
  </x:si>
  <x:si>
    <x:t xml:space="preserve">Новые платёжные клиенты из MVP</x:t>
  </x:si>
  <x:si>
    <x:t xml:space="preserve">Активные счета из MVP</x:t>
  </x:si>
  <x:si>
    <x:t xml:space="preserve">Активные платежные клиенты из MVP</x:t>
  </x:si>
  <x:si>
    <x:t xml:space="preserve">6. Banking Funnel — Existing Business</x:t>
  </x:si>
  <x:si>
    <x:t xml:space="preserve">Активированные фаундеры с действующим бизнесом</x:t>
  </x:si>
  <x:si>
    <x:t xml:space="preserve">Из них не в Альфе</x:t>
  </x:si>
  <x:si>
    <x:t xml:space="preserve">Новые платежные клиенты Альфы</x:t>
  </x:si>
  <x:si>
    <x:t xml:space="preserve">Активные платежные клиенты действующего бизнеса</x:t>
  </x:si>
  <x:si>
    <x:t xml:space="preserve">Всего активных платежных клиентов</x:t>
  </x:si>
  <x:si>
    <x:t xml:space="preserve">7. Operating KPIs</x:t>
  </x:si>
  <x:si>
    <x:t xml:space="preserve">Команда → MVP / счёт Альфы</x:t>
  </x:si>
  <x:si>
    <x:t xml:space="preserve">Платёжные клиенты / активированные фаундеры</x:t>
  </x:si>
  <x:si>
    <x:t xml:space="preserve">Banking Revenue</x:t>
  </x:si>
  <x:si>
    <x:t xml:space="preserve">Формула / логика</x:t>
  </x:si>
  <x:si>
    <x:t xml:space="preserve">1. Revenue Drivers</x:t>
  </x:si>
  <x:si>
    <x:t xml:space="preserve">Активные счета из MVP (счёт входит в MVP)</x:t>
  </x:si>
  <x:si>
    <x:t xml:space="preserve">Net-доход РКО на активный счет, ₽/мес.</x:t>
  </x:si>
  <x:si>
    <x:t xml:space="preserve">Активные платежные клиенты — всего</x:t>
  </x:si>
  <x:si>
    <x:t xml:space="preserve">Net-доход платежных сервисов, ₽/мес.</x:t>
  </x:si>
  <x:si>
    <x:t xml:space="preserve">2. Monthly Banking Revenue</x:t>
  </x:si>
  <x:si>
    <x:t xml:space="preserve">Доход РКО</x:t>
  </x:si>
  <x:si>
    <x:t xml:space="preserve">Доход платежных сервисов</x:t>
  </x:si>
  <x:si>
    <x:t xml:space="preserve">Итого банковский доход</x:t>
  </x:si>
  <x:si>
    <x:t xml:space="preserve">Доля РКО в доходе</x:t>
  </x:si>
  <x:si>
    <x:t xml:space="preserve">Доля платежных сервисов в доходе</x:t>
  </x:si>
  <x:si>
    <x:t xml:space="preserve">3. Revenue KPIs</x:t>
  </x:si>
  <x:si>
    <x:t xml:space="preserve">Средний банковский доход на MAU, ₽</x:t>
  </x:si>
  <x:si>
    <x:t xml:space="preserve">Средний банковский доход на зарегистрированного фаундера, ₽</x:t>
  </x:si>
  <x:si>
    <x:t xml:space="preserve">Платежные клиенты / MAU фаундеров</x:t>
  </x:si>
  <x:si>
    <x:t xml:space="preserve">Активные счета / накопленные MVP</x:t>
  </x:si>
  <x:si>
    <x:t xml:space="preserve">Costs</x:t>
  </x:si>
  <x:si>
    <x:t xml:space="preserve">1. Cost Drivers</x:t>
  </x:si>
  <x:si>
    <x:t xml:space="preserve">Новые регистрации — всего</x:t>
  </x:si>
  <x:si>
    <x:t xml:space="preserve">Blended CAC до нормировки, ₽</x:t>
  </x:si>
  <x:si>
    <x:t xml:space="preserve">Переменные расходы на MAU, ₽</x:t>
  </x:si>
  <x:si>
    <x:t xml:space="preserve">2. Monthly Operating Costs</x:t>
  </x:si>
  <x:si>
    <x:t xml:space="preserve">Разовая разработка</x:t>
  </x:si>
  <x:si>
    <x:t xml:space="preserve">Команда</x:t>
  </x:si>
  <x:si>
    <x:t xml:space="preserve">Маркетинг до нормировки</x:t>
  </x:si>
  <x:si>
    <x:t xml:space="preserve">Коэффициент нормировки маркетинга к годовому target</x:t>
  </x:si>
  <x:si>
    <x:t xml:space="preserve">Маркетинг</x:t>
  </x:si>
  <x:si>
    <x:t xml:space="preserve">Переменная инфраструктура</x:t>
  </x:si>
  <x:si>
    <x:t xml:space="preserve">Итого инфраструктура</x:t>
  </x:si>
  <x:si>
    <x:t xml:space="preserve">AI fixed infrastructure</x:t>
  </x:si>
  <x:si>
    <x:t xml:space="preserve">AI variable cost (MAU-linked)</x:t>
  </x:si>
  <x:si>
    <x:t xml:space="preserve">AI infrastructure costs</x:t>
  </x:si>
  <x:si>
    <x:t xml:space="preserve">Other OPEX</x:t>
  </x:si>
  <x:si>
    <x:t xml:space="preserve">AI implementation / integration (CAPEX)</x:t>
  </x:si>
  <x:si>
    <x:t xml:space="preserve">Итого OPEX (без разработки)</x:t>
  </x:si>
  <x:si>
    <x:t xml:space="preserve">Итого денежные расходы (включая CAPEX)</x:t>
  </x:si>
  <x:si>
    <x:t xml:space="preserve">3. Cost KPIs</x:t>
  </x:si>
  <x:si>
    <x:t xml:space="preserve">Маркетинг / всего расходов</x:t>
  </x:si>
  <x:si>
    <x:t xml:space="preserve">Команда / всего расходов</x:t>
  </x:si>
  <x:si>
    <x:t xml:space="preserve">Инфраструктура / всего расходов</x:t>
  </x:si>
  <x:si>
    <x:t xml:space="preserve">AI / всего расходов</x:t>
  </x:si>
  <x:si>
    <x:t xml:space="preserve">Расходы на одного нового пользователя, ₽</x:t>
  </x:si>
  <x:si>
    <x:t xml:space="preserve">Расходы на одного MAU, ₽</x:t>
  </x:si>
  <x:si>
    <x:t xml:space="preserve">P&amp;L</x:t>
  </x:si>
  <x:si>
    <x:t xml:space="preserve">1. Banking Revenue</x:t>
  </x:si>
  <x:si>
    <x:t xml:space="preserve">Рост банковского дохода, MoM</x:t>
  </x:si>
  <x:si>
    <x:t xml:space="preserve">2. Operating Expenses</x:t>
  </x:si>
  <x:si>
    <x:t xml:space="preserve">Разработка + AI integration (капитализируется; справочно)</x:t>
  </x:si>
  <x:si>
    <x:t xml:space="preserve">Инфраструктура</x:t>
  </x:si>
  <x:si>
    <x:t xml:space="preserve">AI costs</x:t>
  </x:si>
  <x:si>
    <x:t xml:space="preserve">Итого операционные расходы</x:t>
  </x:si>
  <x:si>
    <x:t xml:space="preserve">EBITDA</x:t>
  </x:si>
  <x:si>
    <x:t xml:space="preserve">EBITDA margin</x:t>
  </x:si>
  <x:si>
    <x:t xml:space="preserve">Амортизация разработки</x:t>
  </x:si>
  <x:si>
    <x:t xml:space="preserve">EBIT</x:t>
  </x:si>
  <x:si>
    <x:t xml:space="preserve">Чистая прибыль</x:t>
  </x:si>
  <x:si>
    <x:t xml:space="preserve">Net margin</x:t>
  </x:si>
  <x:si>
    <x:t xml:space="preserve">4. P&amp;L KPIs</x:t>
  </x:si>
  <x:si>
    <x:t xml:space="preserve">Banking income / operating expenses</x:t>
  </x:si>
  <x:si>
    <x:t xml:space="preserve">Маркетинг / банковский доход</x:t>
  </x:si>
  <x:si>
    <x:t xml:space="preserve">Команда / банковский доход</x:t>
  </x:si>
  <x:si>
    <x:t xml:space="preserve">Break-even month (EBITDA)</x:t>
  </x:si>
  <x:si>
    <x:t xml:space="preserve">Cash Flow</x:t>
  </x:si>
  <x:si>
    <x:t xml:space="preserve">1. Operating Cash Flow</x:t>
  </x:si>
  <x:si>
    <x:t xml:space="preserve">Налог на EBIT</x:t>
  </x:si>
  <x:si>
    <x:t xml:space="preserve">NOPAT</x:t>
  </x:si>
  <x:si>
    <x:t xml:space="preserve">Амортизация</x:t>
  </x:si>
  <x:si>
    <x:t xml:space="preserve">Операционный денежный поток</x:t>
  </x:si>
  <x:si>
    <x:t xml:space="preserve">2. Investing Cash Flow</x:t>
  </x:si>
  <x:si>
    <x:t xml:space="preserve">CAPEX / разработка</x:t>
  </x:si>
  <x:si>
    <x:t xml:space="preserve">Изменение оборотного капитала</x:t>
  </x:si>
  <x:si>
    <x:t xml:space="preserve">AI implementation / integration</x:t>
  </x:si>
  <x:si>
    <x:t xml:space="preserve">Инвестиционный денежный поток</x:t>
  </x:si>
  <x:si>
    <x:t xml:space="preserve">3. Free Cash Flow</x:t>
  </x:si>
  <x:si>
    <x:t xml:space="preserve">Free Cash Flow</x:t>
  </x:si>
  <x:si>
    <x:t xml:space="preserve">Накопленный денежный поток</x:t>
  </x:si>
  <x:si>
    <x:t xml:space="preserve">Дисконт-фактор</x:t>
  </x:si>
  <x:si>
    <x:t xml:space="preserve">Дисконтированный FCF</x:t>
  </x:si>
  <x:si>
    <x:t xml:space="preserve">Накопленный дисконтированный FCF</x:t>
  </x:si>
  <x:si>
    <x:t xml:space="preserve">4. Cash Flow KPIs</x:t>
  </x:si>
  <x:si>
    <x:t xml:space="preserve">Payback month</x:t>
  </x:si>
  <x:si>
    <x:t xml:space="preserve">Discounted payback month</x:t>
  </x:si>
  <x:si>
    <x:t xml:space="preserve">Пиковая потребность в финансировании</x:t>
  </x:si>
  <x:si>
    <x:t xml:space="preserve">FCF Год 1</x:t>
  </x:si>
  <x:si>
    <x:t xml:space="preserve">FCF Год 2</x:t>
  </x:si>
  <x:si>
    <x:t xml:space="preserve">Накопленный FCF к концу М24</x:t>
  </x:si>
  <x:si>
    <x:t xml:space="preserve">DCF</x:t>
  </x:si>
  <x:si>
    <x:t xml:space="preserve">1. Forecast Free Cash Flow</x:t>
  </x:si>
  <x:si>
    <x:t xml:space="preserve">Discount factor</x:t>
  </x:si>
  <x:si>
    <x:t xml:space="preserve">PV of Free Cash Flow</x:t>
  </x:si>
  <x:si>
    <x:t xml:space="preserve">2. Terminal Value</x:t>
  </x:si>
  <x:si>
    <x:t xml:space="preserve">Discount rate</x:t>
  </x:si>
  <x:si>
    <x:t xml:space="preserve">Terminal value at end of М24</x:t>
  </x:si>
  <x:si>
    <x:t xml:space="preserve">Discount factor to end of М24</x:t>
  </x:si>
  <x:si>
    <x:t xml:space="preserve">PV of Terminal Value</x:t>
  </x:si>
  <x:si>
    <x:t xml:space="preserve">3. Valuation Summary</x:t>
  </x:si>
  <x:si>
    <x:t xml:space="preserve">PV of Forecast FCF</x:t>
  </x:si>
  <x:si>
    <x:t xml:space="preserve">Enterprise Value</x:t>
  </x:si>
  <x:si>
    <x:t xml:space="preserve">Terminal value / Enterprise Value</x:t>
  </x:si>
  <x:si>
    <x:t xml:space="preserve">Undiscounted payback month</x:t>
  </x:si>
  <x:si>
    <x:t xml:space="preserve">Monthly IRR</x:t>
  </x:si>
  <x:si>
    <x:t xml:space="preserve">Annualized IRR</x:t>
  </x:si>
  <x:si>
    <x:t xml:space="preserve">PV прогнозного FCF</x:t>
  </x:si>
  <x:si>
    <x:t xml:space="preserve">PV терминальной стоимости</x:t>
  </x:si>
  <x:si>
    <x:t xml:space="preserve">Scenarios</x:t>
  </x:si>
  <x:si>
    <x:t xml:space="preserve">1. Scenario Inputs</x:t>
  </x:si>
  <x:si>
    <x:t xml:space="preserve">Интерпретация</x:t>
  </x:si>
  <x:si>
    <x:t xml:space="preserve">RKO income sensitivity</x:t>
  </x:si>
  <x:si>
    <x:t xml:space="preserve">Payments income sensitivity</x:t>
  </x:si>
  <x:si>
    <x:t xml:space="preserve">Team efficiency / cost</x:t>
  </x:si>
  <x:si>
    <x:t xml:space="preserve">Acquisition efficiency</x:t>
  </x:si>
  <x:si>
    <x:t xml:space="preserve">Infrastructure scaling</x:t>
  </x:si>
  <x:si>
    <x:t xml:space="preserve">Development complexity</x:t>
  </x:si>
  <x:si>
    <x:t xml:space="preserve">Long-term growth</x:t>
  </x:si>
  <x:si>
    <x:t xml:space="preserve">2. Scenario Outputs</x:t>
  </x:si>
  <x:si>
    <x:t xml:space="preserve">Banking Revenue — Год 1</x:t>
  </x:si>
  <x:si>
    <x:t xml:space="preserve">Banking Revenue — Год 2</x:t>
  </x:si>
  <x:si>
    <x:t xml:space="preserve">OPEX — Год 1</x:t>
  </x:si>
  <x:si>
    <x:t xml:space="preserve">OPEX — Год 2</x:t>
  </x:si>
  <x:si>
    <x:t xml:space="preserve">EBITDA — Год 1</x:t>
  </x:si>
  <x:si>
    <x:t xml:space="preserve">EBITDA — Год 2</x:t>
  </x:si>
  <x:si>
    <x:t xml:space="preserve">FCF — Год 1</x:t>
  </x:si>
  <x:si>
    <x:t xml:space="preserve">FCF — Год 2</x:t>
  </x:si>
  <x:si>
    <x:t xml:space="preserve">PV Forecast FCF</x:t>
  </x:si>
  <x:si>
    <x:t xml:space="preserve">PV Terminal Value</x:t>
  </x:si>
  <x:si>
    <x:t xml:space="preserve">Terminal Value / EV</x:t>
  </x:si>
  <x:si>
    <x:t xml:space="preserve">3. Monthly Scenario Engine</x:t>
  </x:si>
  <x:si>
    <x:t xml:space="preserve">Downside</x:t>
  </x:si>
  <x:si>
    <x:t xml:space="preserve">Итого OPEX</x:t>
  </x:si>
  <x:si>
    <x:t xml:space="preserve">Налог</x:t>
  </x:si>
  <x:si>
    <x:t xml:space="preserve">Operating Cash Flow</x:t>
  </x:si>
  <x:si>
    <x:t xml:space="preserve">CAPEX</x:t>
  </x:si>
  <x:si>
    <x:t xml:space="preserve">PV of FCF</x:t>
  </x:si>
  <x:si>
    <x:t xml:space="preserve">Hybrid</x:t>
  </x:si>
  <x:si>
    <x:t xml:space="preserve">Upside</x:t>
  </x:si>
  <x:si>
    <x:t xml:space="preserve">Executive Summary</x:t>
  </x:si>
  <x:si>
    <x:t xml:space="preserve">MAU к М24</x:t>
  </x:si>
  <x:si>
    <x:t xml:space="preserve">MVP за 24 мес.</x:t>
  </x:si>
  <x:si>
    <x:t xml:space="preserve">Активные счета М24</x:t>
  </x:si>
  <x:si>
    <x:t xml:space="preserve">Платежные клиенты М24</x:t>
  </x:si>
  <x:si>
    <x:t xml:space="preserve">Revenue Год 1</x:t>
  </x:si>
  <x:si>
    <x:t xml:space="preserve">EBITDA Год 1</x:t>
  </x:si>
  <x:si>
    <x:t xml:space="preserve">Ключевые показатели</x:t>
  </x:si>
  <x:si>
    <x:t xml:space="preserve">Банковский доход</x:t>
  </x:si>
  <x:si>
    <x:t xml:space="preserve">OPEX</x:t>
  </x:si>
  <x:si>
    <x:t xml:space="preserve">ДДС</x:t>
  </x:si>
  <x:si>
    <x:t xml:space="preserve">Маркетинговый бюджет</x:t>
  </x:si>
  <x:si>
    <x:t xml:space="preserve">Эффективный CAC</x:t>
  </x:si>
  <x:si>
    <x:t xml:space="preserve">Расчет</x:t>
  </x:si>
  <x:si>
    <x:t xml:space="preserve">Инвестиционные выводы</x:t>
  </x:si>
  <x:si>
    <x:t xml:space="preserve">EBITDA break-even</x:t>
  </x:si>
  <x:si>
    <x:t xml:space="preserve">Месяц выхода на положительную EBITDA</x:t>
  </x:si>
  <x:si>
    <x:t xml:space="preserve">Payback</x:t>
  </x:si>
  <x:si>
    <x:t xml:space="preserve">Месяц денежной окупаемости</x:t>
  </x:si>
  <x:si>
    <x:t xml:space="preserve">Discounted payback</x:t>
  </x:si>
  <x:si>
    <x:t xml:space="preserve">Окупаемость с учетом ставки дисконтирования</x:t>
  </x:si>
  <x:si>
    <x:t xml:space="preserve">Чем ниже, тем надежнее оценка</x:t>
  </x:si>
  <x:si>
    <x:t xml:space="preserve">Связь модели</x:t>
  </x:si>
  <x:si>
    <x:t xml:space="preserve">Статус</x:t>
  </x:si>
  <x:si>
    <x:t xml:space="preserve">Контроль</x:t>
  </x:si>
  <x:si>
    <x:t xml:space="preserve">Revenue chain</x:t>
  </x:si>
  <x:si>
    <x:t xml:space="preserve">P&amp;L = Banking Revenue</x:t>
  </x:si>
  <x:si>
    <x:t xml:space="preserve">OPEX chain</x:t>
  </x:si>
  <x:si>
    <x:t xml:space="preserve">P&amp;L = Costs</x:t>
  </x:si>
  <x:si>
    <x:t xml:space="preserve">Scenario chain</x:t>
  </x:si>
  <x:si>
    <x:t xml:space="preserve">Базовый EV = DCF EV</x:t>
  </x:si>
  <x:si>
    <x:t xml:space="preserve">Summary chain</x:t>
  </x:si>
  <x:si>
    <x:t xml:space="preserve">Summary EV = DCF EV</x:t>
  </x:si>
  <x:si>
    <x:t xml:space="preserve">AI chain</x:t>
  </x:si>
  <x:si>
    <x:t xml:space="preserve">P&amp;L AI = Costs AI</x:t>
  </x:si>
  <x:si>
    <x:t xml:space="preserve">Проверка эффекта замедления роста в Год 2</x:t>
  </x:si>
  <x:si>
    <x:t xml:space="preserve">6% MoM в Год 2</x:t>
  </x:si>
  <x:si>
    <x:t xml:space="preserve">2,5% MoM в Год 2</x:t>
  </x:si>
  <x:si>
    <x:t xml:space="preserve">Изменение</x:t>
  </x:si>
  <x:si>
    <x:t xml:space="preserve">Новые регистрации Год 2</x:t>
  </x:si>
  <x:si>
    <x:t xml:space="preserve">Поток новых пользователей</x:t>
  </x:si>
  <x:si>
    <x:t xml:space="preserve">Активная база</x:t>
  </x:si>
  <x:si>
    <x:t xml:space="preserve">Активные счета к М24</x:t>
  </x:si>
  <x:si>
    <x:t xml:space="preserve">Накопленная банковская база</x:t>
  </x:si>
  <x:si>
    <x:t xml:space="preserve">Платежные клиенты к М24</x:t>
  </x:si>
  <x:si>
    <x:t xml:space="preserve">Банковский доход Год 2</x:t>
  </x:si>
  <x:si>
    <x:t xml:space="preserve">Доход считается с накопленной базы</x:t>
  </x:si>
  <x:si>
    <x:t xml:space="preserve">OPEX Год 2</x:t>
  </x:si>
  <x:si>
    <x:t xml:space="preserve">OPEX выше из-за роста маркетинга и инфраструктуры</x:t>
  </x:si>
  <x:si>
    <x:t xml:space="preserve">EBITDA Год 2</x:t>
  </x:si>
  <x:si>
    <x:t xml:space="preserve">Снижение дохода сильнее роста OPEX</x:t>
  </x:si>
  <x:si>
    <x:t xml:space="preserve">DCF также пересчитан</x:t>
  </x:si>
  <x:si>
    <x:t xml:space="preserve">Карта связей Assumptions</x:t>
  </x:si>
  <x:si>
    <x:t xml:space="preserve">Меняйте синие входные ячейки на листе Assumptions. Мэтч = 25%, мэтч → чат = 50%, чат → команда = 10%; каждый MVP уже включает счёт Альфы, далее считается только переход в платёжного клиента.</x:t>
  </x:si>
  <x:si>
    <x:t xml:space="preserve">Важно: блок каналов CAC (Assumptions B46:B65) оставлен справочным — действующая модель использует фиксированный маркетинговый бюджет B38/B39.</x:t>
  </x:si>
  <x:si>
    <x:t xml:space="preserve">Раздел</x:t>
  </x:si>
  <x:si>
    <x:t xml:space="preserve">Ячейка</x:t>
  </x:si>
  <x:si>
    <x:t xml:space="preserve">Текущее значение</x:t>
  </x:si>
  <x:si>
    <x:t xml:space="preserve">Прямые связи</x:t>
  </x:si>
  <x:si>
    <x:t xml:space="preserve">Основная модель</x:t>
  </x:si>
  <x:si>
    <x:t xml:space="preserve">B4</x:t>
  </x:si>
  <x:si>
    <x:t xml:space="preserve">Справочно</x:t>
  </x:si>
  <x:si>
    <x:t xml:space="preserve">—</x:t>
  </x:si>
  <x:si>
    <x:t xml:space="preserve">Рыночный ориентир; финансовые расчёты напрямую не меняет.</x:t>
  </x:si>
  <x:si>
    <x:t xml:space="preserve">B5</x:t>
  </x:si>
  <x:si>
    <x:t xml:space="preserve">Активно</x:t>
  </x:si>
  <x:si>
    <x:t xml:space="preserve">Изменение пересчитывает указанные листы и последующие цепочки.</x:t>
  </x:si>
  <x:si>
    <x:t xml:space="preserve">B6</x:t>
  </x:si>
  <x:si>
    <x:t xml:space="preserve">B7</x:t>
  </x:si>
  <x:si>
    <x:t xml:space="preserve">Расчёт</x:t>
  </x:si>
  <x:si>
    <x:t xml:space="preserve">Расчётная ячейка — меняйте её исходные параметры.</x:t>
  </x:si>
  <x:si>
    <x:t xml:space="preserve">B8</x:t>
  </x:si>
  <x:si>
    <x:t xml:space="preserve">B9</x:t>
  </x:si>
  <x:si>
    <x:t xml:space="preserve">B10</x:t>
  </x:si>
  <x:si>
    <x:t xml:space="preserve">Assumptions → Operating Model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</x:si>
  <x:si>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</x:si>
  <x:si>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</x:si>
  <x:si>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</x:si>
  <x:si>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</x:si>
  <x:si>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B15</x:t>
  </x:si>
  <x:si>
    <x:t xml:space="preserve">B16</x:t>
  </x:si>
  <x:si>
    <x:t xml:space="preserve">B17</x:t>
  </x:si>
  <x:si>
    <x:t xml:space="preserve">B18</x:t>
  </x:si>
  <x:si>
    <x:t xml:space="preserve">B19</x:t>
  </x:si>
  <x:si>
    <x:t xml:space="preserve">B20</x:t>
  </x:si>
  <x:si>
    <x:t xml:space="preserve">B21</x:t>
  </x:si>
  <x:si>
    <x:t xml:space="preserve">B22</x:t>
  </x:si>
  <x:si>
    <x:t xml:space="preserve">B23</x:t>
  </x:si>
  <x:si>
    <x:t xml:space="preserve">Зафиксированная продуктовая логика: каждый MVP уже включает счёт Альфы; отдельной конверсии нет.</x:t>
  </x:si>
  <x:si>
    <x:t xml:space="preserve">B24</x:t>
  </x:si>
  <x:si>
    <x:t xml:space="preserve">B25</x:t>
  </x:si>
  <x:si>
    <x:t xml:space="preserve">B26</x:t>
  </x:si>
  <x:si>
    <x:t xml:space="preserve">B27</x:t>
  </x:si>
  <x:si>
    <x:t xml:space="preserve">B28</x:t>
  </x:si>
  <x:si>
    <x:t xml:space="preserve">B29</x:t>
  </x:si>
  <x:si>
    <x:t xml:space="preserve">B30</x:t>
  </x:si>
  <x:si>
    <x:t xml:space="preserve">B31</x:t>
  </x:si>
  <x:si>
    <x:t xml:space="preserve">B32</x:t>
  </x:si>
  <x:si>
    <x:t xml:space="preserve">B33</x:t>
  </x:si>
  <x:si>
    <x:t xml:space="preserve">B34</x:t>
  </x:si>
  <x:si>
    <x:t xml:space="preserve">B35</x:t>
  </x:si>
  <x:si>
    <x:t xml:space="preserve">B36</x:t>
  </x:si>
  <x:si>
    <x:t xml:space="preserve">B37</x:t>
  </x:si>
  <x:si>
    <x:t xml:space="preserve">Зеркальное расчётное значение для контроля модели.</x:t>
  </x:si>
  <x:si>
    <x:t xml:space="preserve">B38</x:t>
  </x:si>
  <x:si>
    <x:t xml:space="preserve">Assumptions → Costs</x:t>
  </x:si>
  <x:si>
    <x:t xml:space="preserve">B39</x:t>
  </x:si>
  <x:si>
    <x:t xml:space="preserve">B40</x:t>
  </x:si>
  <x:si>
    <x:t xml:space="preserve">B41</x:t>
  </x:si>
  <x:si>
    <x:t xml:space="preserve">B42</x:t>
  </x:si>
  <x:si>
    <x:t xml:space="preserve">B43</x:t>
  </x:si>
  <x:si>
    <x:t xml:space="preserve">B44</x:t>
  </x:si>
  <x:si>
    <x:t xml:space="preserve">Необязательно: значение &gt; 0 заменяет расчётный Blended CAC в B36.</x:t>
  </x:si>
  <x:si>
    <x:t xml:space="preserve">CAC / рост</x:t>
  </x:si>
  <x:si>
    <x:t xml:space="preserve">B46</x:t>
  </x:si>
  <x:si>
    <x:t xml:space="preserve">Benchmark канала. Модель сейчас использует фиксированный бюджет B38/B39.</x:t>
  </x:si>
  <x:si>
    <x:t xml:space="preserve">B47</x:t>
  </x:si>
  <x:si>
    <x:t xml:space="preserve">B48</x:t>
  </x:si>
  <x:si>
    <x:t xml:space="preserve">B49</x:t>
  </x:si>
  <x:si>
    <x:t xml:space="preserve">B50</x:t>
  </x:si>
  <x:si>
    <x:t xml:space="preserve">B51</x:t>
  </x:si>
  <x:si>
    <x:t xml:space="preserve">B52</x:t>
  </x:si>
  <x:si>
    <x:t xml:space="preserve">B53</x:t>
  </x:si>
  <x:si>
    <x:t xml:space="preserve">B54</x:t>
  </x:si>
  <x:si>
    <x:t xml:space="preserve">B55</x:t>
  </x:si>
  <x:si>
    <x:t xml:space="preserve">B56</x:t>
  </x:si>
  <x:si>
    <x:t xml:space="preserve">B57</x:t>
  </x:si>
  <x:si>
    <x:t xml:space="preserve">B58</x:t>
  </x:si>
  <x:si>
    <x:t xml:space="preserve">B59</x:t>
  </x:si>
  <x:si>
    <x:t xml:space="preserve">B60</x:t>
  </x:si>
  <x:si>
    <x:t xml:space="preserve">B61</x:t>
  </x:si>
  <x:si>
    <x:t xml:space="preserve">B62</x:t>
  </x:si>
  <x:si>
    <x:t xml:space="preserve">B63</x:t>
  </x:si>
  <x:si>
    <x:t xml:space="preserve">B64</x:t>
  </x:si>
  <x:si>
    <x:t xml:space="preserve">B65</x:t>
  </x:si>
  <x:si>
    <x:t xml:space="preserve">B66</x:t>
  </x:si>
  <x:si>
    <x:t xml:space="preserve">Справочный CAC-множитель; рабочие сценарии задаются в B79:D85.</x:t>
  </x:si>
  <x:si>
    <x:t xml:space="preserve">B67</x:t>
  </x:si>
  <x:si>
    <x:t xml:space="preserve">B68</x:t>
  </x:si>
  <x:si>
    <x:t xml:space="preserve">B69</x:t>
  </x:si>
  <x:si>
    <x:t xml:space="preserve">B70</x:t>
  </x:si>
  <x:si>
    <x:t xml:space="preserve">P&amp;L → Scenarios</x:t>
  </x:si>
  <x:si>
    <x:t xml:space="preserve">Финансы</x:t>
  </x:si>
  <x:si>
    <x:t xml:space="preserve">B73</x:t>
  </x:si>
  <x:si>
    <x:t xml:space="preserve">Cash Flow → DCF → Scenarios</x:t>
  </x:si>
  <x:si>
    <x:t xml:space="preserve">B74</x:t>
  </x:si>
  <x:si>
    <x:t xml:space="preserve">B75</x:t>
  </x:si>
  <x:si>
    <x:t xml:space="preserve">Costs → P&amp;L</x:t>
  </x:si>
  <x:si>
    <x:t xml:space="preserve">Сценарии</x:t>
  </x:si>
  <x:si>
    <x:t xml:space="preserve">RKO revenue multiplier — Пессимистичный</x:t>
  </x:si>
  <x:si>
    <x:t xml:space="preserve">B79</x:t>
  </x:si>
  <x:si>
    <x:t xml:space="preserve">RKO revenue multiplier — Базовый</x:t>
  </x:si>
  <x:si>
    <x:t xml:space="preserve">C79</x:t>
  </x:si>
  <x:si>
    <x:t xml:space="preserve">RKO revenue multiplier — Оптимистичный</x:t>
  </x:si>
  <x:si>
    <x:t xml:space="preserve">D79</x:t>
  </x:si>
  <x:si>
    <x:t xml:space="preserve">Payments revenue multiplier — Пессимистичный</x:t>
  </x:si>
  <x:si>
    <x:t xml:space="preserve">B80</x:t>
  </x:si>
  <x:si>
    <x:t xml:space="preserve">Payments revenue multiplier — Базовый</x:t>
  </x:si>
  <x:si>
    <x:t xml:space="preserve">C80</x:t>
  </x:si>
  <x:si>
    <x:t xml:space="preserve">Payments revenue multiplier — Оптимистичный</x:t>
  </x:si>
  <x:si>
    <x:t xml:space="preserve">D80</x:t>
  </x:si>
  <x:si>
    <x:t xml:space="preserve">Team cost multiplier — Пессимистичный</x:t>
  </x:si>
  <x:si>
    <x:t xml:space="preserve">B81</x:t>
  </x:si>
  <x:si>
    <x:t xml:space="preserve">Team cost multiplier — Базовый</x:t>
  </x:si>
  <x:si>
    <x:t xml:space="preserve">C81</x:t>
  </x:si>
  <x:si>
    <x:t xml:space="preserve">Team cost multiplier — Оптимистичный</x:t>
  </x:si>
  <x:si>
    <x:t xml:space="preserve">D81</x:t>
  </x:si>
  <x:si>
    <x:t xml:space="preserve">Marketing cost multiplier — Пессимистичный</x:t>
  </x:si>
  <x:si>
    <x:t xml:space="preserve">B82</x:t>
  </x:si>
  <x:si>
    <x:t xml:space="preserve">Marketing cost multiplier — Базовый</x:t>
  </x:si>
  <x:si>
    <x:t xml:space="preserve">C82</x:t>
  </x:si>
  <x:si>
    <x:t xml:space="preserve">Marketing cost multiplier — Оптимистичный</x:t>
  </x:si>
  <x:si>
    <x:t xml:space="preserve">D82</x:t>
  </x:si>
  <x:si>
    <x:t xml:space="preserve">Infrastructure cost multiplier — Пессимистичный</x:t>
  </x:si>
  <x:si>
    <x:t xml:space="preserve">B83</x:t>
  </x:si>
  <x:si>
    <x:t xml:space="preserve">Infrastructure cost multiplier — Базовый</x:t>
  </x:si>
  <x:si>
    <x:t xml:space="preserve">C83</x:t>
  </x:si>
  <x:si>
    <x:t xml:space="preserve">Infrastructure cost multiplier — Оптимистичный</x:t>
  </x:si>
  <x:si>
    <x:t xml:space="preserve">D83</x:t>
  </x:si>
  <x:si>
    <x:t xml:space="preserve">CAPEX multiplier — Пессимистичный</x:t>
  </x:si>
  <x:si>
    <x:t xml:space="preserve">B84</x:t>
  </x:si>
  <x:si>
    <x:t xml:space="preserve">CAPEX multiplier — Базовый</x:t>
  </x:si>
  <x:si>
    <x:t xml:space="preserve">C84</x:t>
  </x:si>
  <x:si>
    <x:t xml:space="preserve">CAPEX multiplier — Оптимистичный</x:t>
  </x:si>
  <x:si>
    <x:t xml:space="preserve">D84</x:t>
  </x:si>
  <x:si>
    <x:t xml:space="preserve">Terminal growth rate — Пессимистичный</x:t>
  </x:si>
  <x:si>
    <x:t xml:space="preserve">B85</x:t>
  </x:si>
  <x:si>
    <x:t xml:space="preserve">Terminal growth rate — Базовый</x:t>
  </x:si>
  <x:si>
    <x:t xml:space="preserve">C85</x:t>
  </x:si>
  <x:si>
    <x:t xml:space="preserve">DCF → Scenarios</x:t>
  </x:si>
  <x:si>
    <x:t xml:space="preserve">Terminal growth rate — Оптимистичный</x:t>
  </x:si>
  <x:si>
    <x:t xml:space="preserve">D85</x:t>
  </x:si>
  <x:si>
    <x:t xml:space="preserve">B89</x:t>
  </x:si>
  <x:si>
    <x:t xml:space="preserve">B90</x:t>
  </x:si>
  <x:si>
    <x:t xml:space="preserve">B91</x:t>
  </x:si>
  <x:si>
    <x:t xml:space="preserve">B92</x:t>
  </x:si>
  <x:si>
    <x:t xml:space="preserve">Контроль целостности модели</x:t>
  </x:si>
  <x:si>
    <x:t xml:space="preserve">Проверка</x:t>
  </x:si>
  <x:si>
    <x:t xml:space="preserve">Отклонение</x:t>
  </x:si>
  <x:si>
    <x:t xml:space="preserve">Assumptions!B94</x:t>
  </x:si>
  <x:si>
    <x:t xml:space="preserve">Assumptions!B95</x:t>
  </x:si>
  <x:si>
    <x:t xml:space="preserve">AI costs chain</x:t>
  </x:si>
  <x:si>
    <x:t xml:space="preserve">Assumptions!B96</x:t>
  </x:si>
  <x:si>
    <x:t xml:space="preserve">Assumptions!B100</x:t>
  </x:si>
  <x:si>
    <x:t xml:space="preserve">Assumptions!B101</x:t>
  </x:si>
</x:sst>
</file>

<file path=xl/styles.xml><?xml version="1.0" encoding="utf-8"?>
<x:styleSheet xmlns:x="http://schemas.openxmlformats.org/spreadsheetml/2006/main">
  <x:numFmts count="19">
    <x:numFmt numFmtId="164" formatCode="General"/>
    <x:numFmt numFmtId="165" formatCode="#,##0;[RED]\(#,##0\);\-"/>
    <x:numFmt numFmtId="166" formatCode="0.0%;[RED]\(0.0%\);\-"/>
    <x:numFmt numFmtId="167" formatCode="0&quot; мес.&quot;"/>
    <x:numFmt numFmtId="168" formatCode="#,##0&quot; ₽&quot;;[RED]\(#,##0&quot;) ₽&quot;;\-"/>
    <x:numFmt numFmtId="169" formatCode="0.0\x;[RED]\(0.0&quot;x)&quot;;\-"/>
    <x:numFmt numFmtId="170" formatCode="0.00\x;[RED]\(0.00&quot;x)&quot;;\-"/>
    <x:numFmt numFmtId="171" formatCode="0.0&quot; ₽&quot;;[RED]\(0.0&quot;) ₽&quot;;\-"/>
    <x:numFmt numFmtId="172" formatCode="0,,&quot; млн ₽&quot;"/>
    <x:numFmt numFmtId="173" formatCode="0.000\x"/>
    <x:numFmt numFmtId="174" formatCode="0"/>
    <x:numFmt numFmtId="175" formatCode="0.00\x"/>
    <x:numFmt numFmtId="176" formatCode="0.0%"/>
    <x:numFmt numFmtId="177" formatCode="0.0,,,&quot; млрд ₽&quot;"/>
    <x:numFmt numFmtId="178" formatCode="0.0,,&quot; млн ₽&quot;;[RED]\(0.0,,&quot;) млн ₽&quot;;\-"/>
    <x:numFmt numFmtId="179" formatCode="0.0&quot; млн ₽&quot;"/>
    <x:numFmt numFmtId="180" formatCode="0&quot; млн ₽&quot;"/>
    <x:numFmt numFmtId="181" formatCode="#,##0.0########;[RED]\(#,##0.0########\);\-"/>
    <x:numFmt numFmtId="182" formatCode="#,##0.00;[RED]\(#,##0.00\);\-"/>
  </x:numFmts>
  <x:fonts count="52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5"/>
      <x:color rgb="FFFFFFFF"/>
      <x:name val="Calibri"/>
    </x:font>
    <x:font>
      <x:i/>
      <x:sz val="10"/>
      <x:color rgb="FF555555"/>
      <x:name val="Calibri"/>
    </x:font>
    <x:font>
      <x:b/>
      <x:sz val="10"/>
      <x:color rgb="FFFFFFFF"/>
      <x:name val="Calibri"/>
    </x:font>
    <x:font>
      <x:sz val="10"/>
      <x:color rgb="FF000000"/>
      <x:name val="Calibri"/>
    </x:font>
    <x:font>
      <x:sz val="10"/>
      <x:color rgb="FF0000FF"/>
      <x:name val="Calibri"/>
    </x:font>
    <x:font>
      <x:i/>
      <x:sz val="9"/>
      <x:color rgb="FF666666"/>
      <x:name val="Calibri"/>
    </x:font>
    <x:font>
      <x:sz val="10"/>
      <x:color rgb="FF000000"/>
      <x:name val="Arial"/>
    </x:font>
    <x:font>
      <x:sz val="10"/>
      <x:color rgb="FF0000FF"/>
      <x:name val="Arial"/>
    </x:font>
    <x:font>
      <x:i/>
      <x:sz val="9"/>
      <x:color rgb="FF7F7F7F"/>
      <x:name val="Arial"/>
    </x:font>
    <x:font>
      <x:b/>
      <x:sz val="11"/>
      <x:color rgb="FFFFFFFF"/>
      <x:name val="Calibri"/>
    </x:font>
    <x:font>
      <x:b/>
      <x:i/>
      <x:sz val="9"/>
      <x:color rgb="FFFFFFFF"/>
      <x:name val="Calibri"/>
    </x:font>
    <x:font>
      <x:b/>
      <x:sz val="11"/>
      <x:color rgb="FF1D2330"/>
      <x:name val="Calibri"/>
    </x:font>
    <x:font>
      <x:b/>
      <x:sz val="10"/>
      <x:color rgb="FF000000"/>
      <x:name val="Calibri"/>
    </x:font>
    <x:font>
      <x:sz val="10"/>
      <x:name val="Calibri"/>
    </x:font>
    <x:font>
      <x:i/>
      <x:sz val="11"/>
      <x:color rgb="FF404040"/>
      <x:name val="Calibri"/>
    </x:font>
    <x:font>
      <x:sz val="11"/>
      <x:color rgb="FF008000"/>
      <x:name val="Calibri"/>
    </x:font>
    <x:font>
      <x:b/>
      <x:sz val="11"/>
      <x:color rgb="FF000000"/>
      <x:name val="Calibri"/>
    </x:font>
    <x:font>
      <x:b/>
      <x:sz val="11"/>
      <x:name val="Calibri"/>
    </x:font>
    <x:font>
      <x:i/>
      <x:sz val="11"/>
      <x:color rgb="FF7F6000"/>
      <x:name val="Calibri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sz val="11"/>
      <x:color rgb="FF000000"/>
      <x:name val="Calibri"/>
    </x:font>
    <x:font>
      <x:b/>
      <x:sz val="9"/>
      <x:color rgb="FF000000"/>
      <x:name val="Calibri"/>
    </x:font>
    <x:font>
      <x:b/>
      <x:sz val="11"/>
      <x:color rgb="FF008000"/>
      <x:name val="Calibri"/>
    </x:font>
    <x:font>
      <x:b/>
      <x:sz val="9"/>
      <x:color rgb="FF008000"/>
      <x:name val="Calibri"/>
    </x:font>
    <x:font>
      <x:sz val="11"/>
      <x:color theme="0"/>
      <x:name val="Calibri"/>
    </x:font>
    <x:font>
      <x:b/>
      <x:sz val="10"/>
      <x:color theme="0"/>
      <x:name val="Calibri"/>
    </x:font>
    <x:font>
      <x:sz val="10"/>
      <x:color theme="0"/>
      <x:name val="Calibri"/>
    </x:font>
    <x:font>
      <x:i/>
      <x:sz val="10"/>
      <x:color rgb="FF666666"/>
      <x:name val="Calibri"/>
    </x:font>
    <x:font>
      <x:b/>
      <x:sz val="16"/>
      <x:color rgb="FFFFFFFF"/>
      <x:name val="Calibri"/>
    </x:font>
    <x:font>
      <x:b/>
      <x:sz val="14"/>
      <x:color rgb="FF008000"/>
      <x:name val="Calibri"/>
    </x:font>
    <x:font>
      <x:sz val="11"/>
      <x:color rgb="FF0000FF"/>
      <x:name val="Calibri"/>
    </x:font>
    <x:font>
      <x:b/>
      <x:sz val="18"/>
      <x:color rgb="FFFFFFFF"/>
      <x:name val="Arial"/>
    </x:font>
    <x:font>
      <x:sz val="10"/>
      <x:color rgb="FF1F1F1F"/>
      <x:name val="Arial"/>
    </x:font>
    <x:font>
      <x:i/>
      <x:sz val="10"/>
      <x:color rgb="FF7F6000"/>
      <x:name val="Arial"/>
    </x:font>
    <x:font>
      <x:b/>
      <x:sz val="10"/>
      <x:color rgb="FFFFFFFF"/>
      <x:name val="Arial"/>
    </x:font>
    <x:font>
      <x:sz val="9"/>
      <x:color rgb="FF1F1F1F"/>
      <x:name val="Arial"/>
    </x:font>
    <x:font>
      <x:b/>
      <x:sz val="9"/>
      <x:color rgb="FF0000FF"/>
      <x:name val="Arial"/>
    </x:font>
    <x:font>
      <x:sz val="9"/>
      <x:color rgb="FF008000"/>
      <x:name val="Arial"/>
    </x:font>
    <x:font>
      <x:b/>
      <x:sz val="9"/>
      <x:color rgb="FF666666"/>
      <x:name val="Arial"/>
    </x:font>
    <x:font>
      <x:b/>
      <x:sz val="9"/>
      <x:color rgb="FF006100"/>
      <x:name val="Arial"/>
    </x:font>
    <x:font>
      <x:b/>
      <x:sz val="9"/>
      <x:color rgb="FF1F4E78"/>
      <x:name val="Arial"/>
    </x:font>
    <x:font>
      <x:b/>
      <x:sz val="12"/>
      <x:color rgb="FFFFFFFF"/>
      <x:name val="Arial"/>
    </x:font>
    <x:font>
      <x:sz val="10"/>
      <x:name val="Arial"/>
    </x:font>
    <x:font>
      <x:b/>
      <x:sz val="10"/>
      <x:color rgb="FF006100"/>
      <x:name val="Arial"/>
    </x:font>
    <x:font>
      <x:sz val="8"/>
      <x:color rgb="FF666666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14">
    <x:border diagonalUp="0" diagonalDown="0"/>
    <x:border diagonalUp="0" diagonalDown="0">
      <x:bottom style="thick">
        <x:color rgb="FF1D2330"/>
      </x:bottom>
    </x:border>
    <x:border diagonalUp="0" diagonalDown="0">
      <x:top style="thin">
        <x:color rgb="FFD9D9D9"/>
      </x:top>
    </x:border>
    <x:border diagonalUp="0" diagonalDown="0">
      <x:top style="medium">
        <x:color rgb="FF1D2330"/>
      </x:top>
      <x:bottom style="hair">
        <x:color rgb="FFE7E7E7"/>
      </x:bottom>
    </x:border>
    <x:border diagonalUp="0" diagonalDown="0">
      <x:top style="hair">
        <x:color rgb="FFE7E7E7"/>
      </x:top>
      <x:bottom style="hair">
        <x:color rgb="FFE7E7E7"/>
      </x:bottom>
    </x:border>
    <x:border diagonalUp="0" diagonalDown="0">
      <x:top style="hair">
        <x:color rgb="FFE7E7E7"/>
      </x:top>
    </x:border>
    <x:border diagonalUp="0" diagonalDown="0">
      <x:bottom style="thin">
        <x:color rgb="FFD9E2F3"/>
      </x:bottom>
    </x:border>
    <x:border diagonalUp="0" diagonalDown="0">
      <x:bottom style="hair">
        <x:color rgb="FFE7E7E7"/>
      </x:bottom>
    </x:border>
    <x:border diagonalUp="0" diagonalDown="0">
      <x:top style="thin">
        <x:color rgb="FFBFBFBF"/>
      </x:top>
    </x:border>
    <x:border diagonalUp="0" diagonalDown="0">
      <x:bottom style="medium">
        <x:color rgb="FF1F4E78"/>
      </x:bottom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54">
    <x:xf numFmtId="164" fontId="0" fillId="0" borderId="0" xfId="0" applyFont="0" applyBorder="0" applyAlignment="0">
      <x:alignment horizontal="general" vertical="bottom" wrapText="0"/>
    </x:xf>
    <x:xf numFmtId="164" fontId="5" fillId="2" borderId="1" xfId="20" applyFont="1" applyBorder="1" applyAlignment="1">
      <x:alignment horizontal="general" vertical="center" wrapText="1"/>
    </x:xf>
    <x:xf numFmtId="164" fontId="5" fillId="0" borderId="0" xfId="20" applyFont="1" applyBorder="0" applyAlignment="1">
      <x:alignment horizontal="general" vertical="center" wrapText="1"/>
    </x:xf>
    <x:xf numFmtId="164" fontId="6" fillId="0" borderId="0" xfId="20" applyFont="1" applyBorder="1" applyAlignment="1">
      <x:alignment horizontal="general" vertical="center" wrapText="1"/>
    </x:xf>
    <x:xf numFmtId="164" fontId="6" fillId="0" borderId="0" xfId="20" applyFont="1" applyBorder="0" applyAlignment="1">
      <x:alignment horizontal="general" vertical="center" wrapText="1"/>
    </x:xf>
    <x:xf numFmtId="164" fontId="7" fillId="3" borderId="2" xfId="20" applyFont="1" applyBorder="1" applyAlignment="1">
      <x:alignment horizontal="left" vertical="center" wrapText="1"/>
    </x:xf>
    <x:xf numFmtId="164" fontId="7" fillId="3" borderId="2" xfId="20" applyFont="1" applyBorder="1" applyAlignment="1">
      <x:alignment horizontal="center" vertical="center" wrapText="1"/>
    </x:xf>
    <x:xf numFmtId="164" fontId="8" fillId="0" borderId="0" xfId="20" applyFont="1" applyBorder="0" applyAlignment="1">
      <x:alignment horizontal="general" vertical="center" wrapText="1"/>
    </x:xf>
    <x:xf numFmtId="164" fontId="8" fillId="0" borderId="3" xfId="20" applyFont="1" applyBorder="1" applyAlignment="1">
      <x:alignment horizontal="left" vertical="center" wrapText="1"/>
    </x:xf>
    <x:xf numFmtId="165" fontId="9" fillId="0" borderId="3" xfId="20" applyFont="1" applyBorder="1" applyAlignment="1">
      <x:alignment horizontal="right" vertical="center" wrapText="1"/>
    </x:xf>
    <x:xf numFmtId="164" fontId="10" fillId="0" borderId="3" xfId="20" applyFont="1" applyBorder="1" applyAlignment="1">
      <x:alignment horizontal="left" vertical="center" wrapText="1"/>
    </x:xf>
    <x:xf numFmtId="164" fontId="8" fillId="0" borderId="4" xfId="20" applyFont="1" applyBorder="1" applyAlignment="1">
      <x:alignment horizontal="left" vertical="center" wrapText="1"/>
    </x:xf>
    <x:xf numFmtId="165" fontId="9" fillId="0" borderId="4" xfId="20" applyFont="1" applyBorder="1" applyAlignment="1">
      <x:alignment horizontal="right" vertical="center" wrapText="1"/>
    </x:xf>
    <x:xf numFmtId="164" fontId="10" fillId="0" borderId="4" xfId="20" applyFont="1" applyBorder="1" applyAlignment="1">
      <x:alignment horizontal="left" vertical="center" wrapText="1"/>
    </x:xf>
    <x:xf numFmtId="166" fontId="9" fillId="0" borderId="4" xfId="20" applyFont="1" applyBorder="1" applyAlignment="1">
      <x:alignment horizontal="right" vertical="center" wrapText="1"/>
    </x:xf>
    <x:xf numFmtId="166" fontId="9" fillId="0" borderId="5" xfId="20" applyFont="1" applyBorder="1" applyAlignment="1">
      <x:alignment horizontal="right" vertical="center" wrapText="1"/>
    </x:xf>
    <x:xf numFmtId="167" fontId="9" fillId="0" borderId="4" xfId="20" applyFont="1" applyBorder="1" applyAlignment="1">
      <x:alignment horizontal="right" vertical="center" wrapText="1"/>
    </x:xf>
    <x:xf numFmtId="166" fontId="11" fillId="0" borderId="4" xfId="20" applyFont="1" applyBorder="1" applyAlignment="1">
      <x:alignment horizontal="right" vertical="center" wrapText="1"/>
    </x:xf>
    <x:xf numFmtId="168" fontId="9" fillId="0" borderId="4" xfId="20" applyFont="1" applyBorder="1" applyAlignment="1">
      <x:alignment horizontal="right" vertical="center" wrapText="1"/>
    </x:xf>
    <x:xf numFmtId="164" fontId="8" fillId="0" borderId="0" xfId="20" applyFont="1" applyBorder="0" applyAlignment="1">
      <x:alignment horizontal="left" vertical="center" wrapText="1"/>
    </x:xf>
    <x:xf numFmtId="168" fontId="9" fillId="0" borderId="0" xfId="20" applyFont="1" applyBorder="0" applyAlignment="1">
      <x:alignment horizontal="right" vertical="center" wrapText="1"/>
    </x:xf>
    <x:xf numFmtId="164" fontId="8" fillId="0" borderId="5" xfId="20" applyFont="1" applyBorder="1" applyAlignment="1">
      <x:alignment horizontal="left" vertical="center" wrapText="1"/>
    </x:xf>
    <x:xf numFmtId="168" fontId="9" fillId="0" borderId="5" xfId="20" applyFont="1" applyBorder="1" applyAlignment="1">
      <x:alignment horizontal="right" vertical="center" wrapText="1"/>
    </x:xf>
    <x:xf numFmtId="164" fontId="10" fillId="0" borderId="5" xfId="20" applyFont="1" applyBorder="1" applyAlignment="1">
      <x:alignment horizontal="left" vertical="center" wrapText="1"/>
    </x:xf>
    <x:xf numFmtId="164" fontId="11" fillId="0" borderId="6" xfId="20" applyFont="1" applyBorder="1" applyAlignment="1">
      <x:alignment horizontal="left" vertical="center" wrapText="1"/>
    </x:xf>
    <x:xf numFmtId="168" fontId="12" fillId="0" borderId="6" xfId="20" applyFont="1" applyBorder="1" applyAlignment="1">
      <x:alignment horizontal="right" vertical="center" wrapText="1"/>
    </x:xf>
    <x:xf numFmtId="164" fontId="13" fillId="0" borderId="6" xfId="20" applyFont="1" applyBorder="1" applyAlignment="1">
      <x:alignment horizontal="left" vertical="center" wrapText="1"/>
    </x:xf>
    <x:xf numFmtId="164" fontId="14" fillId="2" borderId="0" xfId="20" applyFont="1" applyBorder="0" applyAlignment="1">
      <x:alignment horizontal="left" vertical="center" wrapText="1"/>
    </x:xf>
    <x:xf numFmtId="164" fontId="14" fillId="2" borderId="0" xfId="20" applyFont="1" applyBorder="0" applyAlignment="1">
      <x:alignment horizontal="right" vertical="center" wrapText="1"/>
    </x:xf>
    <x:xf numFmtId="164" fontId="15" fillId="2" borderId="0" xfId="20" applyFont="1" applyBorder="0" applyAlignment="1">
      <x:alignment horizontal="left" vertical="center" wrapText="1"/>
    </x:xf>
    <x:xf numFmtId="164" fontId="16" fillId="0" borderId="0" xfId="20" applyFont="1" applyBorder="0" applyAlignment="1">
      <x:alignment horizontal="general" vertical="center" wrapText="1"/>
    </x:xf>
    <x:xf numFmtId="164" fontId="8" fillId="0" borderId="7" xfId="20" applyFont="1" applyBorder="1" applyAlignment="1">
      <x:alignment horizontal="left" vertical="center" wrapText="1"/>
    </x:xf>
    <x:xf numFmtId="166" fontId="9" fillId="0" borderId="7" xfId="20" applyFont="1" applyBorder="1" applyAlignment="1">
      <x:alignment horizontal="right" vertical="center" wrapText="1"/>
    </x:xf>
    <x:xf numFmtId="164" fontId="10" fillId="0" borderId="7" xfId="20" applyFont="1" applyBorder="1" applyAlignment="1">
      <x:alignment horizontal="left" vertical="center" wrapText="1"/>
    </x:xf>
    <x:xf numFmtId="169" fontId="9" fillId="0" borderId="4" xfId="20" applyFont="1" applyBorder="1" applyAlignment="1">
      <x:alignment horizontal="right" vertical="center" wrapText="1"/>
    </x:xf>
    <x:xf numFmtId="164" fontId="14" fillId="2" borderId="0" xfId="20" applyFont="1" applyBorder="0" applyAlignment="0">
      <x:alignment horizontal="general" vertical="bottom" wrapText="0"/>
    </x:xf>
    <x:xf numFmtId="164" fontId="7" fillId="3" borderId="0" xfId="20" applyFont="1" applyBorder="0" applyAlignment="1">
      <x:alignment horizontal="left" vertical="center" wrapText="1"/>
    </x:xf>
    <x:xf numFmtId="164" fontId="7" fillId="3" borderId="0" xfId="20" applyFont="1" applyBorder="0" applyAlignment="1">
      <x:alignment horizontal="center" vertical="center" wrapText="1"/>
    </x:xf>
    <x:xf numFmtId="164" fontId="17" fillId="0" borderId="3" xfId="20" applyFont="1" applyBorder="1" applyAlignment="1">
      <x:alignment horizontal="left" vertical="center" wrapText="1"/>
    </x:xf>
    <x:xf numFmtId="170" fontId="9" fillId="0" borderId="3" xfId="20" applyFont="1" applyBorder="1" applyAlignment="1">
      <x:alignment horizontal="right" vertical="center" wrapText="1"/>
    </x:xf>
    <x:xf numFmtId="164" fontId="17" fillId="0" borderId="4" xfId="20" applyFont="1" applyBorder="1" applyAlignment="1">
      <x:alignment horizontal="left" vertical="center" wrapText="1"/>
    </x:xf>
    <x:xf numFmtId="170" fontId="9" fillId="0" borderId="4" xfId="20" applyFont="1" applyBorder="1" applyAlignment="1">
      <x:alignment horizontal="right" vertical="center" wrapText="1"/>
    </x:xf>
    <x:xf numFmtId="164" fontId="17" fillId="0" borderId="5" xfId="20" applyFont="1" applyBorder="1" applyAlignment="1">
      <x:alignment horizontal="left" vertical="center" wrapText="1"/>
    </x:xf>
    <x:xf numFmtId="171" fontId="9" fillId="0" borderId="4" xfId="20" applyFont="1" applyBorder="1" applyAlignment="1">
      <x:alignment horizontal="right" vertical="center" wrapText="1"/>
    </x:xf>
    <x:xf numFmtId="164" fontId="18" fillId="0" borderId="0" xfId="20" applyFont="1" applyBorder="0" applyAlignment="1">
      <x:alignment horizontal="left" vertical="center" wrapText="0"/>
    </x:xf>
    <x:xf numFmtId="164" fontId="18" fillId="0" borderId="0" xfId="20" applyFont="1" applyBorder="0" applyAlignment="1">
      <x:alignment horizontal="general" vertical="center" wrapText="0"/>
    </x:xf>
    <x:xf numFmtId="164" fontId="18" fillId="0" borderId="0" xfId="20" applyFont="1" applyBorder="0" applyAlignment="1">
      <x:alignment horizontal="general" vertical="center" wrapText="1"/>
    </x:xf>
    <x:xf numFmtId="164" fontId="8" fillId="0" borderId="0" xfId="20" applyFont="1" applyBorder="0" applyAlignment="1">
      <x:alignment horizontal="left" vertical="center" wrapText="0"/>
    </x:xf>
    <x:xf numFmtId="164" fontId="8" fillId="0" borderId="0" xfId="20" applyFont="1" applyBorder="0" applyAlignment="1">
      <x:alignment horizontal="general" vertical="center" wrapText="0"/>
    </x:xf>
    <x:xf numFmtId="164" fontId="5" fillId="2" borderId="0" xfId="20" applyFont="1" applyBorder="0" applyAlignment="1">
      <x:alignment horizontal="general" vertical="center" wrapText="1"/>
    </x:xf>
    <x:xf numFmtId="164" fontId="19" fillId="4" borderId="0" xfId="20" applyFont="1" applyBorder="0" applyAlignment="1">
      <x:alignment horizontal="general" vertical="bottom" wrapText="1"/>
    </x:xf>
    <x:xf numFmtId="164" fontId="19" fillId="0" borderId="0" xfId="20" applyFont="1" applyBorder="0" applyAlignment="1">
      <x:alignment horizontal="general" vertical="bottom" wrapText="1"/>
    </x:xf>
    <x:xf numFmtId="164" fontId="4" fillId="0" borderId="0" xfId="20" applyFont="0" applyBorder="0" applyAlignment="1">
      <x:alignment horizontal="general" vertical="bottom" wrapText="1"/>
    </x:xf>
    <x:xf numFmtId="164" fontId="14" fillId="3" borderId="0" xfId="20" applyFont="1" applyBorder="0" applyAlignment="1">
      <x:alignment horizontal="left" vertical="center" wrapText="1"/>
    </x:xf>
    <x:xf numFmtId="164" fontId="14" fillId="3" borderId="0" xfId="20" applyFont="1" applyBorder="0" applyAlignment="1">
      <x:alignment horizontal="right" vertical="center" wrapText="1"/>
    </x:xf>
    <x:xf numFmtId="164" fontId="14" fillId="0" borderId="0" xfId="20" applyFont="1" applyBorder="0" applyAlignment="1">
      <x:alignment horizontal="center" vertical="center" wrapText="1"/>
    </x:xf>
    <x:xf numFmtId="164" fontId="4" fillId="0" borderId="0" xfId="20" applyFont="0" applyBorder="0" applyAlignment="1">
      <x:alignment horizontal="left" vertical="bottom" wrapText="1"/>
    </x:xf>
    <x:xf numFmtId="165" fontId="4" fillId="0" borderId="0" xfId="20" applyFont="0" applyBorder="0" applyAlignment="1">
      <x:alignment horizontal="right" vertical="bottom" wrapText="1"/>
    </x:xf>
    <x:xf numFmtId="164" fontId="14" fillId="2" borderId="0" xfId="20" applyFont="1" applyBorder="0" applyAlignment="1">
      <x:alignment horizontal="general" vertical="bottom" wrapText="1"/>
    </x:xf>
    <x:xf numFmtId="164" fontId="14" fillId="0" borderId="0" xfId="20" applyFont="1" applyBorder="0" applyAlignment="1">
      <x:alignment horizontal="general" vertical="bottom" wrapText="1"/>
    </x:xf>
    <x:xf numFmtId="165" fontId="20" fillId="0" borderId="0" xfId="20" applyFont="1" applyBorder="0" applyAlignment="1">
      <x:alignment horizontal="right" vertical="bottom" wrapText="1"/>
    </x:xf>
    <x:xf numFmtId="164" fontId="21" fillId="5" borderId="8" xfId="20" applyFont="1" applyBorder="1" applyAlignment="1">
      <x:alignment horizontal="left" vertical="bottom" wrapText="1"/>
    </x:xf>
    <x:xf numFmtId="165" fontId="21" fillId="5" borderId="8" xfId="20" applyFont="1" applyBorder="1" applyAlignment="1">
      <x:alignment horizontal="right" vertical="bottom" wrapText="1"/>
    </x:xf>
    <x:xf numFmtId="164" fontId="22" fillId="6" borderId="0" xfId="20" applyFont="1" applyBorder="0" applyAlignment="1">
      <x:alignment horizontal="left" vertical="bottom" wrapText="1"/>
    </x:xf>
    <x:xf numFmtId="166" fontId="20" fillId="6" borderId="0" xfId="20" applyFont="1" applyBorder="0" applyAlignment="1">
      <x:alignment horizontal="right" vertical="bottom" wrapText="1"/>
    </x:xf>
    <x:xf numFmtId="166" fontId="4" fillId="6" borderId="0" xfId="20" applyFont="0" applyBorder="0" applyAlignment="1">
      <x:alignment horizontal="right" vertical="bottom" wrapText="1"/>
    </x:xf>
    <x:xf numFmtId="164" fontId="23" fillId="0" borderId="0" xfId="20" applyFont="1" applyBorder="0" applyAlignment="1">
      <x:alignment horizontal="general" vertical="center" wrapText="1"/>
    </x:xf>
    <x:xf numFmtId="164" fontId="14" fillId="3" borderId="0" xfId="20" applyFont="1" applyBorder="0" applyAlignment="1">
      <x:alignment horizontal="center" vertical="center" wrapText="1"/>
    </x:xf>
    <x:xf numFmtId="165" fontId="20" fillId="0" borderId="0" xfId="20" applyFont="1" applyBorder="0" applyAlignment="1">
      <x:alignment horizontal="general" vertical="bottom" wrapText="1"/>
    </x:xf>
    <x:xf numFmtId="168" fontId="20" fillId="0" borderId="0" xfId="20" applyFont="1" applyBorder="0" applyAlignment="1">
      <x:alignment horizontal="general" vertical="bottom" wrapText="1"/>
    </x:xf>
    <x:xf numFmtId="168" fontId="27" fillId="0" borderId="0" xfId="20" applyFont="1" applyBorder="0" applyAlignment="1">
      <x:alignment horizontal="general" vertical="bottom" wrapText="1"/>
    </x:xf>
    <x:xf numFmtId="164" fontId="21" fillId="5" borderId="8" xfId="20" applyFont="1" applyBorder="1" applyAlignment="1">
      <x:alignment horizontal="general" vertical="bottom" wrapText="1"/>
    </x:xf>
    <x:xf numFmtId="168" fontId="21" fillId="5" borderId="8" xfId="20" applyFont="1" applyBorder="1" applyAlignment="1">
      <x:alignment horizontal="general" vertical="bottom" wrapText="1"/>
    </x:xf>
    <x:xf numFmtId="166" fontId="27" fillId="0" borderId="0" xfId="20" applyFont="1" applyBorder="0" applyAlignment="1">
      <x:alignment horizontal="general" vertical="bottom" wrapText="1"/>
    </x:xf>
    <x:xf numFmtId="164" fontId="27" fillId="0" borderId="0" xfId="20" applyFont="1" applyBorder="0" applyAlignment="1">
      <x:alignment horizontal="general" vertical="bottom" wrapText="1"/>
    </x:xf>
    <x:xf numFmtId="164" fontId="22" fillId="6" borderId="0" xfId="20" applyFont="1" applyBorder="0" applyAlignment="1">
      <x:alignment horizontal="general" vertical="bottom" wrapText="1"/>
    </x:xf>
    <x:xf numFmtId="168" fontId="27" fillId="6" borderId="0" xfId="20" applyFont="1" applyBorder="0" applyAlignment="1">
      <x:alignment horizontal="general" vertical="bottom" wrapText="1"/>
    </x:xf>
    <x:xf numFmtId="166" fontId="27" fillId="6" borderId="0" xfId="20" applyFont="1" applyBorder="0" applyAlignment="1">
      <x:alignment horizontal="general" vertical="bottom" wrapText="1"/>
    </x:xf>
    <x:xf numFmtId="164" fontId="23" fillId="0" borderId="0" xfId="20" applyFont="1" applyBorder="0" applyAlignment="1">
      <x:alignment horizontal="general" vertical="bottom" wrapText="1"/>
    </x:xf>
    <x:xf numFmtId="166" fontId="20" fillId="0" borderId="0" xfId="20" applyFont="1" applyBorder="0" applyAlignment="1">
      <x:alignment horizontal="general" vertical="bottom" wrapText="1"/>
    </x:xf>
    <x:xf numFmtId="173" fontId="27" fillId="0" borderId="0" xfId="20" applyFont="1" applyBorder="0" applyAlignment="1">
      <x:alignment horizontal="general" vertical="bottom" wrapText="1"/>
    </x:xf>
    <x:xf numFmtId="164" fontId="21" fillId="6" borderId="8" xfId="20" applyFont="1" applyBorder="1" applyAlignment="1">
      <x:alignment horizontal="general" vertical="bottom" wrapText="1"/>
    </x:xf>
    <x:xf numFmtId="168" fontId="21" fillId="6" borderId="8" xfId="20" applyFont="1" applyBorder="1" applyAlignment="1">
      <x:alignment horizontal="general" vertical="bottom" wrapText="1"/>
    </x:xf>
    <x:xf numFmtId="164" fontId="21" fillId="5" borderId="0" xfId="20" applyFont="1" applyBorder="0" applyAlignment="1">
      <x:alignment horizontal="general" vertical="bottom" wrapText="1"/>
    </x:xf>
    <x:xf numFmtId="168" fontId="28" fillId="5" borderId="0" xfId="20" applyFont="1" applyBorder="0" applyAlignment="1">
      <x:alignment horizontal="general" vertical="bottom" wrapText="1"/>
    </x:xf>
    <x:xf numFmtId="168" fontId="21" fillId="5" borderId="0" xfId="20" applyFont="1" applyBorder="0" applyAlignment="1">
      <x:alignment horizontal="general" vertical="bottom" wrapText="1"/>
    </x:xf>
    <x:xf numFmtId="166" fontId="4" fillId="6" borderId="0" xfId="20" applyFont="0" applyBorder="0" applyAlignment="1">
      <x:alignment horizontal="general" vertical="bottom" wrapText="1"/>
    </x:xf>
    <x:xf numFmtId="168" fontId="29" fillId="5" borderId="8" xfId="20" applyFont="1" applyBorder="1" applyAlignment="1">
      <x:alignment horizontal="general" vertical="bottom" wrapText="1"/>
    </x:xf>
    <x:xf numFmtId="166" fontId="4" fillId="0" borderId="0" xfId="20" applyFont="0" applyBorder="0" applyAlignment="1">
      <x:alignment horizontal="general" vertical="bottom" wrapText="1"/>
    </x:xf>
    <x:xf numFmtId="168" fontId="29" fillId="6" borderId="8" xfId="20" applyFont="1" applyBorder="1" applyAlignment="1">
      <x:alignment horizontal="general" vertical="bottom" wrapText="1"/>
    </x:xf>
    <x:xf numFmtId="168" fontId="4" fillId="0" borderId="0" xfId="20" applyFont="0" applyBorder="0" applyAlignment="1">
      <x:alignment horizontal="general" vertical="bottom" wrapText="1"/>
    </x:xf>
    <x:xf numFmtId="169" fontId="4" fillId="0" borderId="0" xfId="20" applyFont="0" applyBorder="0" applyAlignment="1">
      <x:alignment horizontal="general" vertical="bottom" wrapText="1"/>
    </x:xf>
    <x:xf numFmtId="174" fontId="4" fillId="0" borderId="0" xfId="20" applyFont="0" applyBorder="0" applyAlignment="1">
      <x:alignment horizontal="general" vertical="bottom" wrapText="1"/>
    </x:xf>
    <x:xf numFmtId="168" fontId="28" fillId="5" borderId="8" xfId="20" applyFont="1" applyBorder="1" applyAlignment="1">
      <x:alignment horizontal="general" vertical="bottom" wrapText="1"/>
    </x:xf>
    <x:xf numFmtId="168" fontId="30" fillId="5" borderId="8" xfId="20" applyFont="1" applyBorder="1" applyAlignment="1">
      <x:alignment horizontal="general" vertical="bottom" wrapText="1"/>
    </x:xf>
    <x:xf numFmtId="173" fontId="20" fillId="0" borderId="0" xfId="20" applyFont="1" applyBorder="0" applyAlignment="1">
      <x:alignment horizontal="general" vertical="bottom" wrapText="1"/>
    </x:xf>
    <x:xf numFmtId="173" fontId="4" fillId="0" borderId="0" xfId="20" applyFont="0" applyBorder="0" applyAlignment="1">
      <x:alignment horizontal="general" vertical="bottom" wrapText="1"/>
    </x:xf>
    <x:xf numFmtId="168" fontId="28" fillId="6" borderId="8" xfId="20" applyFont="1" applyBorder="1" applyAlignment="1">
      <x:alignment horizontal="general" vertical="bottom" wrapText="1"/>
    </x:xf>
    <x:xf numFmtId="174" fontId="20" fillId="0" borderId="0" xfId="20" applyFont="1" applyBorder="0" applyAlignment="1">
      <x:alignment horizontal="general" vertical="bottom" wrapText="1"/>
    </x:xf>
    <x:xf numFmtId="164" fontId="31" fillId="0" borderId="0" xfId="20" applyFont="1" applyBorder="0" applyAlignment="0">
      <x:alignment horizontal="general" vertical="bottom" wrapText="0"/>
    </x:xf>
    <x:xf numFmtId="164" fontId="32" fillId="0" borderId="0" xfId="20" applyFont="1" applyBorder="0" applyAlignment="1">
      <x:alignment horizontal="general" vertical="bottom" wrapText="1"/>
    </x:xf>
    <x:xf numFmtId="164" fontId="32" fillId="0" borderId="0" xfId="20" applyFont="1" applyBorder="0" applyAlignment="0">
      <x:alignment horizontal="general" vertical="bottom" wrapText="0"/>
    </x:xf>
    <x:xf numFmtId="164" fontId="33" fillId="0" borderId="0" xfId="20" applyFont="1" applyBorder="0" applyAlignment="1">
      <x:alignment horizontal="general" vertical="bottom" wrapText="1"/>
    </x:xf>
    <x:xf numFmtId="168" fontId="33" fillId="0" borderId="0" xfId="20" applyFont="1" applyBorder="0" applyAlignment="1">
      <x:alignment horizontal="general" vertical="bottom" wrapText="1"/>
    </x:xf>
    <x:xf numFmtId="168" fontId="33" fillId="0" borderId="0" xfId="20" applyFont="1" applyBorder="0" applyAlignment="0">
      <x:alignment horizontal="general" vertical="bottom" wrapText="0"/>
    </x:xf>
    <x:xf numFmtId="164" fontId="31" fillId="0" borderId="0" xfId="20" applyFont="1" applyBorder="0" applyAlignment="1">
      <x:alignment horizontal="general" vertical="bottom" wrapText="1"/>
    </x:xf>
    <x:xf numFmtId="164" fontId="5" fillId="2" borderId="0" xfId="20" applyFont="1" applyBorder="1" applyAlignment="1">
      <x:alignment horizontal="left" vertical="center" wrapText="1"/>
    </x:xf>
    <x:xf numFmtId="164" fontId="27" fillId="0" borderId="0" xfId="20" applyFont="1" applyBorder="0" applyAlignment="0">
      <x:alignment horizontal="general" vertical="bottom" wrapText="0"/>
    </x:xf>
    <x:xf numFmtId="164" fontId="14" fillId="2" borderId="0" xfId="20" applyFont="1" applyBorder="1" applyAlignment="1">
      <x:alignment horizontal="left" vertical="center" wrapText="1"/>
    </x:xf>
    <x:xf numFmtId="164" fontId="21" fillId="0" borderId="0" xfId="20" applyFont="1" applyBorder="0" applyAlignment="1">
      <x:alignment horizontal="general" vertical="bottom" wrapText="1"/>
    </x:xf>
    <x:xf numFmtId="164" fontId="27" fillId="0" borderId="6" xfId="20" applyFont="1" applyBorder="1" applyAlignment="1">
      <x:alignment horizontal="left" vertical="center" wrapText="1"/>
    </x:xf>
    <x:xf numFmtId="175" fontId="20" fillId="0" borderId="6" xfId="20" applyFont="1" applyBorder="1" applyAlignment="1">
      <x:alignment horizontal="right" vertical="center" wrapText="1"/>
    </x:xf>
    <x:xf numFmtId="164" fontId="34" fillId="0" borderId="6" xfId="20" applyFont="1" applyBorder="1" applyAlignment="1">
      <x:alignment horizontal="left" vertical="center" wrapText="1"/>
    </x:xf>
    <x:xf numFmtId="176" fontId="20" fillId="0" borderId="6" xfId="20" applyFont="1" applyBorder="1" applyAlignment="1">
      <x:alignment horizontal="right" vertical="center" wrapText="1"/>
    </x:xf>
    <x:xf numFmtId="165" fontId="27" fillId="0" borderId="6" xfId="20" applyFont="1" applyBorder="1" applyAlignment="1">
      <x:alignment horizontal="right" vertical="center" wrapText="1"/>
    </x:xf>
    <x:xf numFmtId="164" fontId="21" fillId="5" borderId="9" xfId="20" applyFont="1" applyBorder="1" applyAlignment="1">
      <x:alignment horizontal="left" vertical="center" wrapText="1"/>
    </x:xf>
    <x:xf numFmtId="165" fontId="21" fillId="5" borderId="9" xfId="20" applyFont="1" applyBorder="1" applyAlignment="1">
      <x:alignment horizontal="right" vertical="center" wrapText="1"/>
    </x:xf>
    <x:xf numFmtId="176" fontId="27" fillId="0" borderId="6" xfId="20" applyFont="1" applyBorder="1" applyAlignment="1">
      <x:alignment horizontal="right" vertical="center" wrapText="1"/>
    </x:xf>
    <x:xf numFmtId="164" fontId="21" fillId="0" borderId="0" xfId="20" applyFont="1" applyBorder="0" applyAlignment="1">
      <x:alignment horizontal="center" vertical="bottom" wrapText="0"/>
    </x:xf>
    <x:xf numFmtId="173" fontId="27" fillId="0" borderId="6" xfId="20" applyFont="1" applyBorder="1" applyAlignment="1">
      <x:alignment horizontal="right" vertical="center" wrapText="1"/>
    </x:xf>
    <x:xf numFmtId="168" fontId="27" fillId="0" borderId="0" xfId="20" applyFont="1" applyBorder="0" applyAlignment="0">
      <x:alignment horizontal="general" vertical="bottom" wrapText="0"/>
    </x:xf>
    <x:xf numFmtId="164" fontId="35" fillId="2" borderId="0" xfId="20" applyFont="1" applyBorder="0" applyAlignment="1">
      <x:alignment horizontal="general" vertical="center" wrapText="1"/>
    </x:xf>
    <x:xf numFmtId="164" fontId="35" fillId="0" borderId="0" xfId="20" applyFont="1" applyBorder="0" applyAlignment="1">
      <x:alignment horizontal="general" vertical="center" wrapText="1"/>
    </x:xf>
    <x:xf numFmtId="164" fontId="14" fillId="3" borderId="0" xfId="20" applyFont="1" applyBorder="1" applyAlignment="1">
      <x:alignment horizontal="center" vertical="center" wrapText="1"/>
    </x:xf>
    <x:xf numFmtId="165" fontId="36" fillId="5" borderId="10" xfId="20" applyFont="1" applyBorder="1" applyAlignment="1">
      <x:alignment horizontal="center" vertical="center" wrapText="1"/>
    </x:xf>
    <x:xf numFmtId="178" fontId="36" fillId="5" borderId="10" xfId="20" applyFont="1" applyBorder="1" applyAlignment="1">
      <x:alignment horizontal="center" vertical="center" wrapText="1"/>
    </x:xf>
    <x:xf numFmtId="164" fontId="14" fillId="3" borderId="0" xfId="20" applyFont="1" applyBorder="0" applyAlignment="1">
      <x:alignment horizontal="general" vertical="bottom" wrapText="1"/>
    </x:xf>
    <x:xf numFmtId="164" fontId="22" fillId="5" borderId="8" xfId="20" applyFont="1" applyBorder="1" applyAlignment="1">
      <x:alignment horizontal="general" vertical="bottom" wrapText="1"/>
    </x:xf>
    <x:xf numFmtId="164" fontId="29" fillId="5" borderId="0" xfId="20" applyFont="1" applyBorder="0" applyAlignment="1">
      <x:alignment horizontal="center" vertical="bottom" wrapText="1"/>
    </x:xf>
    <x:xf numFmtId="164" fontId="14" fillId="3" borderId="0" xfId="20" applyFont="1" applyBorder="0" applyAlignment="1">
      <x:alignment horizontal="center" vertical="bottom" wrapText="1"/>
    </x:xf>
    <x:xf numFmtId="165" fontId="37" fillId="7" borderId="0" xfId="20" applyFont="1" applyBorder="0" applyAlignment="1">
      <x:alignment horizontal="general" vertical="bottom" wrapText="1"/>
    </x:xf>
    <x:xf numFmtId="165" fontId="20" fillId="5" borderId="0" xfId="20" applyFont="1" applyBorder="0" applyAlignment="1">
      <x:alignment horizontal="general" vertical="bottom" wrapText="1"/>
    </x:xf>
    <x:xf numFmtId="168" fontId="37" fillId="7" borderId="0" xfId="20" applyFont="1" applyBorder="0" applyAlignment="1">
      <x:alignment horizontal="general" vertical="bottom" wrapText="1"/>
    </x:xf>
    <x:xf numFmtId="168" fontId="20" fillId="5" borderId="0" xfId="20" applyFont="1" applyBorder="0" applyAlignment="1">
      <x:alignment horizontal="general" vertical="bottom" wrapText="1"/>
    </x:xf>
    <x:xf numFmtId="164" fontId="33" fillId="0" borderId="0" xfId="20" applyFont="1" applyBorder="0" applyAlignment="0">
      <x:alignment horizontal="general" vertical="bottom" wrapText="0"/>
    </x:xf>
    <x:xf numFmtId="179" fontId="33" fillId="0" borderId="0" xfId="20" applyFont="1" applyBorder="0" applyAlignment="0">
      <x:alignment horizontal="general" vertical="bottom" wrapText="0"/>
    </x:xf>
    <x:xf numFmtId="164" fontId="38" fillId="2" borderId="0" xfId="20" applyFont="1" applyBorder="1" applyAlignment="1">
      <x:alignment horizontal="general" vertical="center" wrapText="0"/>
    </x:xf>
    <x:xf numFmtId="164" fontId="39" fillId="8" borderId="0" xfId="20" applyFont="1" applyBorder="1" applyAlignment="1">
      <x:alignment horizontal="general" vertical="bottom" wrapText="1"/>
    </x:xf>
    <x:xf numFmtId="164" fontId="40" fillId="7" borderId="0" xfId="20" applyFont="1" applyBorder="1" applyAlignment="1">
      <x:alignment horizontal="general" vertical="bottom" wrapText="1"/>
    </x:xf>
    <x:xf numFmtId="164" fontId="41" fillId="3" borderId="11" xfId="20" applyFont="1" applyBorder="1" applyAlignment="1">
      <x:alignment horizontal="center" vertical="center" wrapText="1"/>
    </x:xf>
    <x:xf numFmtId="164" fontId="42" fillId="0" borderId="12" xfId="20" applyFont="1" applyBorder="1" applyAlignment="1">
      <x:alignment horizontal="general" vertical="top" wrapText="1"/>
    </x:xf>
    <x:xf numFmtId="164" fontId="43" fillId="0" borderId="12" xfId="20" applyFont="1" applyBorder="1" applyAlignment="1">
      <x:alignment horizontal="general" vertical="top" wrapText="1"/>
    </x:xf>
    <x:xf numFmtId="181" fontId="44" fillId="0" borderId="12" xfId="20" applyFont="1" applyBorder="1" applyAlignment="1">
      <x:alignment horizontal="general" vertical="top" wrapText="1"/>
    </x:xf>
    <x:xf numFmtId="164" fontId="45" fillId="6" borderId="12" xfId="20" applyFont="1" applyBorder="1" applyAlignment="1">
      <x:alignment horizontal="center" vertical="top" wrapText="1"/>
    </x:xf>
    <x:xf numFmtId="164" fontId="46" fillId="5" borderId="12" xfId="20" applyFont="1" applyBorder="1" applyAlignment="1">
      <x:alignment horizontal="center" vertical="top" wrapText="1"/>
    </x:xf>
    <x:xf numFmtId="164" fontId="47" fillId="8" borderId="12" xfId="20" applyFont="1" applyBorder="1" applyAlignment="1">
      <x:alignment horizontal="center" vertical="top" wrapText="1"/>
    </x:xf>
    <x:xf numFmtId="164" fontId="48" fillId="2" borderId="0" xfId="20" applyFont="1" applyBorder="1" applyAlignment="0">
      <x:alignment horizontal="general" vertical="bottom" wrapText="0"/>
    </x:xf>
    <x:xf numFmtId="164" fontId="41" fillId="3" borderId="11" xfId="20" applyFont="1" applyBorder="1" applyAlignment="0">
      <x:alignment horizontal="general" vertical="bottom" wrapText="0"/>
    </x:xf>
    <x:xf numFmtId="164" fontId="49" fillId="0" borderId="12" xfId="20" applyFont="1" applyBorder="1" applyAlignment="0">
      <x:alignment horizontal="general" vertical="bottom" wrapText="0"/>
    </x:xf>
    <x:xf numFmtId="182" fontId="49" fillId="0" borderId="12" xfId="20" applyFont="1" applyBorder="1" applyAlignment="0">
      <x:alignment horizontal="general" vertical="bottom" wrapText="0"/>
    </x:xf>
    <x:xf numFmtId="164" fontId="50" fillId="5" borderId="12" xfId="20" applyFont="1" applyBorder="1" applyAlignment="1">
      <x:alignment horizontal="center" vertical="bottom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51" fillId="9" borderId="0" xfId="0" applyNumberFormat="1" applyFont="1" applyFill="1" applyBorder="1" applyAlignment="1">
      <x:alignment horizontal="general" vertical="bottom" wrapText="0"/>
    </x:xf>
    <x:xf numFmtId="164" fontId="51" fillId="9" borderId="13" xfId="0" applyNumberFormat="1" applyFont="1" applyFill="1" applyBorder="1" applyAlignment="1">
      <x:alignment horizontal="general" vertical="bottom" wrapText="0"/>
    </x:xf>
  </x:cellXfs>
  <x:cellStyles count="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  <x:cellStyle name="Normal 2" xfId="2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F6000"/>
      <x:rgbColor rgb="FF800080"/>
      <x:rgbColor rgb="FF156082"/>
      <x:rgbColor rgb="FFBFBFBF"/>
      <x:rgbColor rgb="FF7F7F7F"/>
      <x:rgbColor rgb="FF5B9BD5"/>
      <x:rgbColor rgb="FF555555"/>
      <x:rgbColor rgb="FFFFF2CC"/>
      <x:rgbColor rgb="FFD9EAF7"/>
      <x:rgbColor rgb="FF660066"/>
      <x:rgbColor rgb="FFFF8080"/>
      <x:rgbColor rgb="FF0066CC"/>
      <x:rgbColor rgb="FFB4C6E7"/>
      <x:rgbColor rgb="FF000080"/>
      <x:rgbColor rgb="FFFF00FF"/>
      <x:rgbColor rgb="FFFFFF00"/>
      <x:rgbColor rgb="FF00FFFF"/>
      <x:rgbColor rgb="FF800080"/>
      <x:rgbColor rgb="FF800000"/>
      <x:rgbColor rgb="FF006100"/>
      <x:rgbColor rgb="FF0000FF"/>
      <x:rgbColor rgb="FF00CCFF"/>
      <x:rgbColor rgb="FFDDEBF7"/>
      <x:rgbColor rgb="FFE2F0D9"/>
      <x:rgbColor rgb="FFF2F2F2"/>
      <x:rgbColor rgb="FFB3B3B3"/>
      <x:rgbColor rgb="FFE7E7E7"/>
      <x:rgbColor rgb="FFD9E2F3"/>
      <x:rgbColor rgb="FFD9D9D9"/>
      <x:rgbColor rgb="FF3366FF"/>
      <x:rgbColor rgb="FF33CCCC"/>
      <x:rgbColor rgb="FF99CC00"/>
      <x:rgbColor rgb="FFFFCC00"/>
      <x:rgbColor rgb="FFFF9900"/>
      <x:rgbColor rgb="FFED7D31"/>
      <x:rgbColor rgb="FF666666"/>
      <x:rgbColor rgb="FFA5A5A5"/>
      <x:rgbColor rgb="FF17365D"/>
      <x:rgbColor rgb="FF70AD47"/>
      <x:rgbColor rgb="FF1D2330"/>
      <x:rgbColor rgb="FF1F1F1F"/>
      <x:rgbColor rgb="FF993300"/>
      <x:rgbColor rgb="FF993366"/>
      <x:rgbColor rgb="FF1F4E78"/>
      <x:rgbColor rgb="FF404040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0f8e621ec4de2" /><Relationship Type="http://schemas.openxmlformats.org/officeDocument/2006/relationships/theme" Target="/xl/theme/theme1.xml" Id="R36ae33ee221744b0" /><Relationship Type="http://schemas.openxmlformats.org/officeDocument/2006/relationships/sharedStrings" Target="/xl/sharedStrings.xml" Id="R956121a36baa4534" /><Relationship Type="http://schemas.openxmlformats.org/officeDocument/2006/relationships/worksheet" Target="/xl/worksheets/sheet1.xml" Id="R5aaf7cc20b524d5a" /><Relationship Type="http://schemas.openxmlformats.org/officeDocument/2006/relationships/worksheet" Target="/xl/worksheets/sheet2.xml" Id="Rd80c595f323e4a1c" /><Relationship Type="http://schemas.openxmlformats.org/officeDocument/2006/relationships/worksheet" Target="/xl/worksheets/sheet3.xml" Id="Re9b574c43b004e55" /><Relationship Type="http://schemas.openxmlformats.org/officeDocument/2006/relationships/worksheet" Target="/xl/worksheets/sheet4.xml" Id="R0b729b197d854003" /><Relationship Type="http://schemas.openxmlformats.org/officeDocument/2006/relationships/worksheet" Target="/xl/worksheets/sheet5.xml" Id="R3732c57350514c79" /><Relationship Type="http://schemas.openxmlformats.org/officeDocument/2006/relationships/worksheet" Target="/xl/worksheets/sheet6.xml" Id="R0c007d66006b4975" /><Relationship Type="http://schemas.openxmlformats.org/officeDocument/2006/relationships/worksheet" Target="/xl/worksheets/sheet7.xml" Id="R9da458cdb9a9446b" /><Relationship Type="http://schemas.openxmlformats.org/officeDocument/2006/relationships/worksheet" Target="/xl/worksheets/sheet8.xml" Id="Rd375805e7c0c4be2" /><Relationship Type="http://schemas.openxmlformats.org/officeDocument/2006/relationships/worksheet" Target="/xl/worksheets/sheet9.xml" Id="R21a2d532d8a24896" /><Relationship Type="http://schemas.openxmlformats.org/officeDocument/2006/relationships/worksheet" Target="/xl/worksheets/sheet10.xml" Id="Rb29a189520514fba" /><Relationship Type="http://schemas.microsoft.com/office/2017/10/relationships/person" Target="/xl/persons/person.xml" Id="R2147f7506bb44d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c218d15f5649eb" /><Relationship Type="http://schemas.openxmlformats.org/officeDocument/2006/relationships/chart" Target="/xl/drawings/charts/chart2.xml" Id="Rbc09f793e1f845ed" /><Relationship Type="http://schemas.openxmlformats.org/officeDocument/2006/relationships/chart" Target="/xl/drawings/charts/chart3.xml" Id="R4b725f425a1a49e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3dccad4e91f46a2" /><Relationship Type="http://schemas.openxmlformats.org/officeDocument/2006/relationships/chart" Target="/xl/drawings/charts/chart5.xml" Id="Rb405061b0c034d4a" /><Relationship Type="http://schemas.openxmlformats.org/officeDocument/2006/relationships/chart" Target="/xl/drawings/charts/chart6.xml" Id="R6287daa3e84f4d7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d3e284bfcd9f4ead" /><Relationship Type="http://schemas.openxmlformats.org/officeDocument/2006/relationships/chart" Target="/xl/drawings/charts/chart8.xml" Id="Rb9ba3fca6a854deb" /><Relationship Type="http://schemas.openxmlformats.org/officeDocument/2006/relationships/chart" Target="/xl/drawings/charts/chart9.xml" Id="R18915e9994f4410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0d04d689994b4def" /><Relationship Type="http://schemas.openxmlformats.org/officeDocument/2006/relationships/chart" Target="/xl/drawings/charts/chart11.xml" Id="R352619e90478424e" /><Relationship Type="http://schemas.openxmlformats.org/officeDocument/2006/relationships/chart" Target="/xl/drawings/charts/chart12.xml" Id="R80d40f596d88421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0fedd5d6db144719" /><Relationship Type="http://schemas.openxmlformats.org/officeDocument/2006/relationships/chart" Target="/xl/drawings/charts/chart14.xml" Id="R49054ade674042d7" /><Relationship Type="http://schemas.openxmlformats.org/officeDocument/2006/relationships/chart" Target="/xl/drawings/charts/chart15.xml" Id="R058f6848719b46b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d440c2e4601f4523" /><Relationship Type="http://schemas.openxmlformats.org/officeDocument/2006/relationships/chart" Target="/xl/drawings/charts/chart17.xml" Id="R80ac9ef0f9be49ca" /><Relationship Type="http://schemas.openxmlformats.org/officeDocument/2006/relationships/chart" Target="/xl/drawings/charts/chart18.xml" Id="Re7448fa423b6409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9.xml" Id="R38fa69405f6c41cb" /><Relationship Type="http://schemas.openxmlformats.org/officeDocument/2006/relationships/chart" Target="/xl/drawings/charts/chart20.xml" Id="Rf636701e065e4f15" /><Relationship Type="http://schemas.openxmlformats.org/officeDocument/2006/relationships/chart" Target="/xl/drawings/charts/chart21.xml" Id="R9d1588693dc04bc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22.xml" Id="R5833577f3a8d4c2d" /><Relationship Type="http://schemas.openxmlformats.org/officeDocument/2006/relationships/chart" Target="/xl/drawings/charts/chart23.xml" Id="R0ba7c35e289f4f57" /><Relationship Type="http://schemas.openxmlformats.org/officeDocument/2006/relationships/chart" Target="/xl/drawings/charts/chart24.xml" Id="R25948271b1194ae6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ed9f5f1d27a344a2" /><Relationship Type="http://schemas.openxmlformats.org/officeDocument/2006/relationships/chart" Target="/xl/drawings/charts/chart26.xml" Id="Rb2b8d94cf84b4124" /><Relationship Type="http://schemas.openxmlformats.org/officeDocument/2006/relationships/chart" Target="/xl/drawings/charts/chart27.xml" Id="R1c8bc43120134b7c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28.xml" Id="R6398ebbd4f6d48c1" /><Relationship Type="http://schemas.openxmlformats.org/officeDocument/2006/relationships/chart" Target="/xl/drawings/charts/chart29.xml" Id="Rdaa8c927e1194c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Размер рынка, пользователей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Пользователи</c:v>
          </c:tx>
          <c:spPr>
            <a:solidFill xmlns:a="http://schemas.openxmlformats.org/drawingml/2006/main">
              <a:srgbClr val="17375E"/>
            </a:solidFill>
          </c:spPr>
          <c:cat>
            <c:strRef>
              <c:f>'Assumptions'!$AA$3:$AA$5</c:f>
              <c:strCache>
                <c:ptCount val="0"/>
              </c:strCache>
            </c:strRef>
          </c:cat>
          <c:val>
            <c:numRef>
              <c:f>'Assumptions'!$AB$3:$AB$5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Ключевые конверсии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Конверсия</c:v>
          </c:tx>
          <c:spPr>
            <a:solidFill xmlns:a="http://schemas.openxmlformats.org/drawingml/2006/main">
              <a:srgbClr val="EF3124"/>
            </a:solidFill>
          </c:spPr>
          <c:cat>
            <c:strRef>
              <c:f>'Assumptions'!$AA$8:$AA$12</c:f>
              <c:strCache>
                <c:ptCount val="0"/>
              </c:strCache>
            </c:strRef>
          </c:cat>
          <c:val>
            <c:numRef>
              <c:f>'Assumptions'!$AB$8:$AB$12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Сценарные мультипликаторы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Пессимистичный</c:v>
          </c:tx>
          <c:spPr>
            <a:solidFill xmlns:a="http://schemas.openxmlformats.org/drawingml/2006/main">
              <a:srgbClr val="A6A6A6"/>
            </a:solidFill>
          </c:spPr>
          <c:marker>
            <c:symbol val="none"/>
          </c:marker>
          <c:cat>
            <c:strRef>
              <c:f>'Assumptions'!$AA$15:$AA$20</c:f>
              <c:strCache>
                <c:ptCount val="0"/>
              </c:strCache>
            </c:strRef>
          </c:cat>
          <c:val>
            <c:numRef>
              <c:f>'Assumptions'!$AB$15:$AB$20</c:f>
              <c:numCache>
                <c:formatCode>0.00x</c:formatCode>
                <c:ptCount val="0"/>
              </c:numCache>
            </c:numRef>
          </c:val>
        </c:ser>
        <c:ser>
          <c:idx val="1"/>
          <c:order val="1"/>
          <c:tx>
            <c:v>Базовый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'Assumptions'!$AA$15:$AA$20</c:f>
              <c:strCache>
                <c:ptCount val="0"/>
              </c:strCache>
            </c:strRef>
          </c:cat>
          <c:val>
            <c:numRef>
              <c:f>'Assumptions'!$AC$15:$AC$20</c:f>
              <c:numCache>
                <c:formatCode>0.00x</c:formatCode>
                <c:ptCount val="0"/>
              </c:numCache>
            </c:numRef>
          </c:val>
        </c:ser>
        <c:ser>
          <c:idx val="2"/>
          <c:order val="2"/>
          <c:tx>
            <c:v>Оптимистичный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'Assumptions'!$AA$15:$AA$20</c:f>
              <c:strCache>
                <c:ptCount val="0"/>
              </c:strCache>
            </c:strRef>
          </c:cat>
          <c:val>
            <c:numRef>
              <c:f>'Assumptions'!$AD$15:$AD$20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MAU и новые регистрации по месяцам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MAU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'Operating Model'!$B$4:$Y$4</c:f>
              <c:strCache>
                <c:ptCount val="0"/>
              </c:strCache>
            </c:strRef>
          </c:cat>
          <c:val>
            <c:numRef>
              <c:f>'Operating Model'!$B$18:$Y$18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Новые регистрации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'Operating Model'!$B$4:$Y$4</c:f>
              <c:strCache>
                <c:ptCount val="0"/>
              </c:strCache>
            </c:strRef>
          </c:cat>
          <c:val>
            <c:numRef>
              <c:f>'Operating Model'!$B$9:$Y$9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Воронка: мэтчи → чаты → команды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Мэтчи</c:v>
          </c:tx>
          <c:spPr>
            <a:solidFill xmlns:a="http://schemas.openxmlformats.org/drawingml/2006/main">
              <a:srgbClr val="EF3124"/>
            </a:solidFill>
          </c:spPr>
          <c:marker>
            <c:symbol val="none"/>
          </c:marker>
          <c:cat>
            <c:strRef>
              <c:f>'Operating Model'!$B$4:$Y$4</c:f>
              <c:strCache>
                <c:ptCount val="0"/>
              </c:strCache>
            </c:strRef>
          </c:cat>
          <c:val>
            <c:numRef>
              <c:f>'Operating Model'!$B$24:$Y$24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Чаты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'Operating Model'!$B$4:$Y$4</c:f>
              <c:strCache>
                <c:ptCount val="0"/>
              </c:strCache>
            </c:strRef>
          </c:cat>
          <c:val>
            <c:numRef>
              <c:f>'Operating Model'!$B$25:$Y$25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Команды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'Operating Model'!$B$4:$Y$4</c:f>
              <c:strCache>
                <c:ptCount val="0"/>
              </c:strCache>
            </c:strRef>
          </c:cat>
          <c:val>
            <c:numRef>
              <c:f>'Operating Model'!$B$26:$Y$26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MVP и активные платёжные клиенты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Накопленные MVP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'Operating Model'!$B$4:$Y$4</c:f>
              <c:strCache>
                <c:ptCount val="0"/>
              </c:strCache>
            </c:strRef>
          </c:cat>
          <c:val>
            <c:numRef>
              <c:f>'Operating Model'!$B$31:$Y$31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Платёжные клиенты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'Operating Model'!$B$4:$Y$4</c:f>
              <c:strCache>
                <c:ptCount val="0"/>
              </c:strCache>
            </c:strRef>
          </c:cat>
          <c:val>
            <c:numRef>
              <c:f>'Operating Model'!$B$44:$Y$44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Банковский доход по месяцам,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РКО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'Banking Revenue'!$B$4:$Y$4</c:f>
              <c:strCache>
                <c:ptCount val="0"/>
              </c:strCache>
            </c:strRef>
          </c:cat>
          <c:val>
            <c:numRef>
              <c:f>'Banking Revenue'!$B$13:$Y$13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Платёжные сервисы</c:v>
          </c:tx>
          <c:spPr>
            <a:solidFill xmlns:a="http://schemas.openxmlformats.org/drawingml/2006/main">
              <a:srgbClr val="EF3124"/>
            </a:solidFill>
          </c:spPr>
          <c:marker>
            <c:symbol val="none"/>
          </c:marker>
          <c:cat>
            <c:strRef>
              <c:f>'Banking Revenue'!$B$4:$Y$4</c:f>
              <c:strCache>
                <c:ptCount val="0"/>
              </c:strCache>
            </c:strRef>
          </c:cat>
          <c:val>
            <c:numRef>
              <c:f>'Banking Revenue'!$B$14:$Y$14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Итого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'Banking Revenue'!$B$4:$Y$4</c:f>
              <c:strCache>
                <c:ptCount val="0"/>
              </c:strCache>
            </c:strRef>
          </c:cat>
          <c:val>
            <c:numRef>
              <c:f>'Banking Revenue'!$B$15:$Y$15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Банковская база по месяцам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Активные счета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'Banking Revenue'!$B$4:$Y$4</c:f>
              <c:strCache>
                <c:ptCount val="0"/>
              </c:strCache>
            </c:strRef>
          </c:cat>
          <c:val>
            <c:numRef>
              <c:f>'Banking Revenue'!$B$7:$Y$7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Платёжные клиенты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'Banking Revenue'!$B$4:$Y$4</c:f>
              <c:strCache>
                <c:ptCount val="0"/>
              </c:strCache>
            </c:strRef>
          </c:cat>
          <c:val>
            <c:numRef>
              <c:f>'Banking Revenue'!$B$9:$Y$9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Доход на MAU и фаундера,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Доход / MAU</c:v>
          </c:tx>
          <c:spPr>
            <a:solidFill xmlns:a="http://schemas.openxmlformats.org/drawingml/2006/main">
              <a:srgbClr val="EF3124"/>
            </a:solidFill>
          </c:spPr>
          <c:marker>
            <c:symbol val="none"/>
          </c:marker>
          <c:cat>
            <c:strRef>
              <c:f>'Banking Revenue'!$B$4:$Y$4</c:f>
              <c:strCache>
                <c:ptCount val="0"/>
              </c:strCache>
            </c:strRef>
          </c:cat>
          <c:val>
            <c:numRef>
              <c:f>'Banking Revenue'!$B$20:$Y$20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Доход / фаундера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'Banking Revenue'!$B$4:$Y$4</c:f>
              <c:strCache>
                <c:ptCount val="0"/>
              </c:strCache>
            </c:strRef>
          </c:cat>
          <c:val>
            <c:numRef>
              <c:f>'Banking Revenue'!$B$21:$Y$21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Структура OPEX по месяцам,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Команда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'Costs'!$B$4:$Y$4</c:f>
              <c:strCache>
                <c:ptCount val="0"/>
              </c:strCache>
            </c:strRef>
          </c:cat>
          <c:val>
            <c:numRef>
              <c:f>'Costs'!$B$15:$Y$15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Маркетинг</c:v>
          </c:tx>
          <c:spPr>
            <a:solidFill xmlns:a="http://schemas.openxmlformats.org/drawingml/2006/main">
              <a:srgbClr val="EF3124"/>
            </a:solidFill>
          </c:spPr>
          <c:marker>
            <c:symbol val="none"/>
          </c:marker>
          <c:cat>
            <c:strRef>
              <c:f>'Costs'!$B$4:$Y$4</c:f>
              <c:strCache>
                <c:ptCount val="0"/>
              </c:strCache>
            </c:strRef>
          </c:cat>
          <c:val>
            <c:numRef>
              <c:f>'Costs'!$B$18:$Y$18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Инфраструктура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'Costs'!$B$4:$Y$4</c:f>
              <c:strCache>
                <c:ptCount val="0"/>
              </c:strCache>
            </c:strRef>
          </c:cat>
          <c:val>
            <c:numRef>
              <c:f>'Costs'!$B$21:$Y$21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AI</c:v>
          </c:tx>
          <c:spPr>
            <a:solidFill xmlns:a="http://schemas.openxmlformats.org/drawingml/2006/main">
              <a:srgbClr val="5B9BD5"/>
            </a:solidFill>
          </c:spPr>
          <c:marker>
            <c:symbol val="none"/>
          </c:marker>
          <c:cat>
            <c:strRef>
              <c:f>'Costs'!$B$4:$Y$4</c:f>
              <c:strCache>
                <c:ptCount val="0"/>
              </c:strCache>
            </c:strRef>
          </c:cat>
          <c:val>
            <c:numRef>
              <c:f>'Costs'!$B$24:$Y$24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OPEX и денежные расходы,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OPEX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'Costs'!$B$4:$Y$4</c:f>
              <c:strCache>
                <c:ptCount val="0"/>
              </c:strCache>
            </c:strRef>
          </c:cat>
          <c:val>
            <c:numRef>
              <c:f>'Costs'!$B$27:$Y$27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С CAPEX</c:v>
          </c:tx>
          <c:spPr>
            <a:solidFill xmlns:a="http://schemas.openxmlformats.org/drawingml/2006/main">
              <a:srgbClr val="EF3124"/>
            </a:solidFill>
          </c:spPr>
          <c:marker>
            <c:symbol val="none"/>
          </c:marker>
          <c:cat>
            <c:strRef>
              <c:f>'Costs'!$B$4:$Y$4</c:f>
              <c:strCache>
                <c:ptCount val="0"/>
              </c:strCache>
            </c:strRef>
          </c:cat>
          <c:val>
            <c:numRef>
              <c:f>'Costs'!$B$28:$Y$28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Удельные расходы,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На регистрацию</c:v>
          </c:tx>
          <c:spPr>
            <a:solidFill xmlns:a="http://schemas.openxmlformats.org/drawingml/2006/main">
              <a:srgbClr val="EF3124"/>
            </a:solidFill>
          </c:spPr>
          <c:marker>
            <c:symbol val="none"/>
          </c:marker>
          <c:cat>
            <c:strRef>
              <c:f>'Costs'!$B$4:$Y$4</c:f>
              <c:strCache>
                <c:ptCount val="0"/>
              </c:strCache>
            </c:strRef>
          </c:cat>
          <c:val>
            <c:numRef>
              <c:f>'Costs'!$B$34:$Y$34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На MAU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'Costs'!$B$4:$Y$4</c:f>
              <c:strCache>
                <c:ptCount val="0"/>
              </c:strCache>
            </c:strRef>
          </c:cat>
          <c:val>
            <c:numRef>
              <c:f>'Costs'!$B$35:$Y$35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Доход и OPEX по месяцам,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Доход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'P&amp;L'!$B$4:$Y$4</c:f>
              <c:strCache>
                <c:ptCount val="0"/>
              </c:strCache>
            </c:strRef>
          </c:cat>
          <c:val>
            <c:numRef>
              <c:f>'P&amp;L'!$B$9:$Y$9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OPEX</c:v>
          </c:tx>
          <c:spPr>
            <a:solidFill xmlns:a="http://schemas.openxmlformats.org/drawingml/2006/main">
              <a:srgbClr val="EF3124"/>
            </a:solidFill>
          </c:spPr>
          <c:marker>
            <c:symbol val="none"/>
          </c:marker>
          <c:cat>
            <c:strRef>
              <c:f>'P&amp;L'!$B$4:$Y$4</c:f>
              <c:strCache>
                <c:ptCount val="0"/>
              </c:strCache>
            </c:strRef>
          </c:cat>
          <c:val>
            <c:numRef>
              <c:f>'P&amp;L'!$B$19:$Y$19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EBITDA и чистая прибыль,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EBITDA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'P&amp;L'!$B$4:$Y$4</c:f>
              <c:strCache>
                <c:ptCount val="0"/>
              </c:strCache>
            </c:strRef>
          </c:cat>
          <c:val>
            <c:numRef>
              <c:f>'P&amp;L'!$B$20:$Y$20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Чистая прибыль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'P&amp;L'!$B$4:$Y$4</c:f>
              <c:strCache>
                <c:ptCount val="0"/>
              </c:strCache>
            </c:strRef>
          </c:cat>
          <c:val>
            <c:numRef>
              <c:f>'P&amp;L'!$B$25:$Y$25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Маржинальность по месяцам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EBITDA margin</c:v>
          </c:tx>
          <c:spPr>
            <a:solidFill xmlns:a="http://schemas.openxmlformats.org/drawingml/2006/main">
              <a:srgbClr val="EF3124"/>
            </a:solidFill>
          </c:spPr>
          <c:marker>
            <c:symbol val="none"/>
          </c:marker>
          <c:cat>
            <c:strRef>
              <c:f>'P&amp;L'!$B$4:$Y$4</c:f>
              <c:strCache>
                <c:ptCount val="0"/>
              </c:strCache>
            </c:strRef>
          </c:cat>
          <c:val>
            <c:numRef>
              <c:f>'P&amp;L'!$B$21:$Y$21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'P&amp;L'!$B$4:$Y$4</c:f>
              <c:strCache>
                <c:ptCount val="0"/>
              </c:strCache>
            </c:strRef>
          </c:cat>
          <c:val>
            <c:numRef>
              <c:f>'P&amp;L'!$B$26:$Y$26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FCF и накопленный денежный поток,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FCF</c:v>
          </c:tx>
          <c:spPr>
            <a:solidFill xmlns:a="http://schemas.openxmlformats.org/drawingml/2006/main">
              <a:srgbClr val="EF3124"/>
            </a:solidFill>
          </c:spPr>
          <c:marker>
            <c:symbol val="none"/>
          </c:marker>
          <c:cat>
            <c:strRef>
              <c:f>'Cash Flow'!$B$4:$Y$4</c:f>
              <c:strCache>
                <c:ptCount val="0"/>
              </c:strCache>
            </c:strRef>
          </c:cat>
          <c:val>
            <c:numRef>
              <c:f>'Cash Flow'!$B$19:$Y$19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Накопленный поток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'Cash Flow'!$B$4:$Y$4</c:f>
              <c:strCache>
                <c:ptCount val="0"/>
              </c:strCache>
            </c:strRef>
          </c:cat>
          <c:val>
            <c:numRef>
              <c:f>'Cash Flow'!$B$20:$Y$20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Дисконтированный FCF,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PV FCF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'Cash Flow'!$B$4:$Y$4</c:f>
              <c:strCache>
                <c:ptCount val="0"/>
              </c:strCache>
            </c:strRef>
          </c:cat>
          <c:val>
            <c:numRef>
              <c:f>'Cash Flow'!$B$22:$Y$22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Накопленный PV FCF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'Cash Flow'!$B$4:$Y$4</c:f>
              <c:strCache>
                <c:ptCount val="0"/>
              </c:strCache>
            </c:strRef>
          </c:cat>
          <c:val>
            <c:numRef>
              <c:f>'Cash Flow'!$B$23:$Y$23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Год 1 vs Год 2: FCF и PV FCF,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Год 1</c:v>
          </c:tx>
          <c:spPr>
            <a:solidFill xmlns:a="http://schemas.openxmlformats.org/drawingml/2006/main">
              <a:srgbClr val="EF3124"/>
            </a:solidFill>
          </c:spPr>
          <c:cat>
            <c:strRef>
              <c:f>'Cash Flow'!$A$19:$A$23</c:f>
              <c:strCache>
                <c:ptCount val="0"/>
              </c:strCache>
            </c:strRef>
          </c:cat>
          <c:val>
            <c:numRef>
              <c:f>'Cash Flow'!$Z$19:$Z$23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Год 2</c:v>
          </c:tx>
          <c:spPr>
            <a:solidFill xmlns:a="http://schemas.openxmlformats.org/drawingml/2006/main">
              <a:srgbClr val="8BE000"/>
            </a:solidFill>
          </c:spPr>
          <c:cat>
            <c:strRef>
              <c:f>'Cash Flow'!$A$19:$A$23</c:f>
              <c:strCache>
                <c:ptCount val="0"/>
              </c:strCache>
            </c:strRef>
          </c:cat>
          <c:val>
            <c:numRef>
              <c:f>'Cash Flow'!$AA$19:$AA$23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FCF и приведённая стоимость по месяцам,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FCF</c:v>
          </c:tx>
          <c:spPr>
            <a:solidFill xmlns:a="http://schemas.openxmlformats.org/drawingml/2006/main">
              <a:srgbClr val="EF3124"/>
            </a:solidFill>
          </c:spPr>
          <c:marker>
            <c:symbol val="none"/>
          </c:marker>
          <c:cat>
            <c:strRef>
              <c:f>'DCF'!$B$4:$Y$4</c:f>
              <c:strCache>
                <c:ptCount val="0"/>
              </c:strCache>
            </c:strRef>
          </c:cat>
          <c:val>
            <c:numRef>
              <c:f>'DCF'!$B$7:$Y$7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PV FCF</c:v>
          </c:tx>
          <c:spPr>
            <a:solidFill xmlns:a="http://schemas.openxmlformats.org/drawingml/2006/main">
              <a:srgbClr val="17375E"/>
            </a:solidFill>
          </c:spPr>
          <c:marker>
            <c:symbol val="none"/>
          </c:marker>
          <c:cat>
            <c:strRef>
              <c:f>'DCF'!$B$4:$Y$4</c:f>
              <c:strCache>
                <c:ptCount val="0"/>
              </c:strCache>
            </c:strRef>
          </c:cat>
          <c:val>
            <c:numRef>
              <c:f>'DCF'!$B$9:$Y$9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Дисконт-фактор по месяцам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Discount factor</c:v>
          </c:tx>
          <c:spPr>
            <a:solidFill xmlns:a="http://schemas.openxmlformats.org/drawingml/2006/main">
              <a:srgbClr val="8BE000"/>
            </a:solidFill>
          </c:spPr>
          <c:marker>
            <c:symbol val="none"/>
          </c:marker>
          <c:cat>
            <c:strRef>
              <c:f>'DCF'!$B$4:$Y$4</c:f>
              <c:strCache>
                <c:ptCount val="0"/>
              </c:strCache>
            </c:strRef>
          </c:cat>
          <c:val>
            <c:numRef>
              <c:f>'DCF'!$B$8:$Y$8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Компоненты Enterprise Value,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Оценка</c:v>
          </c:tx>
          <c:spPr>
            <a:solidFill xmlns:a="http://schemas.openxmlformats.org/drawingml/2006/main">
              <a:srgbClr val="17375E"/>
            </a:solidFill>
          </c:spPr>
          <c:cat>
            <c:strRef>
              <c:f>'DCF'!$A$20:$A$22</c:f>
              <c:strCache>
                <c:ptCount val="0"/>
              </c:strCache>
            </c:strRef>
          </c:cat>
          <c:val>
            <c:numRef>
              <c:f>'DCF'!$B$20:$B$22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Банковский доход по сценариям,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Пессимистичный</c:v>
          </c:tx>
          <c:spPr>
            <a:solidFill xmlns:a="http://schemas.openxmlformats.org/drawingml/2006/main">
              <a:srgbClr val="A6A6A6"/>
            </a:solidFill>
          </c:spPr>
          <c:cat>
            <c:strRef>
              <c:f>'Scenarios'!$A$16:$A$17</c:f>
              <c:strCache>
                <c:ptCount val="0"/>
              </c:strCache>
            </c:strRef>
          </c:cat>
          <c:val>
            <c:numRef>
              <c:f>'Scenarios'!$B$16:$B$17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Базовый</c:v>
          </c:tx>
          <c:spPr>
            <a:solidFill xmlns:a="http://schemas.openxmlformats.org/drawingml/2006/main">
              <a:srgbClr val="17375E"/>
            </a:solidFill>
          </c:spPr>
          <c:cat>
            <c:strRef>
              <c:f>'Scenarios'!$A$16:$A$17</c:f>
              <c:strCache>
                <c:ptCount val="0"/>
              </c:strCache>
            </c:strRef>
          </c:cat>
          <c:val>
            <c:numRef>
              <c:f>'Scenarios'!$C$16:$C$17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Оптимистичный</c:v>
          </c:tx>
          <c:spPr>
            <a:solidFill xmlns:a="http://schemas.openxmlformats.org/drawingml/2006/main">
              <a:srgbClr val="8BE000"/>
            </a:solidFill>
          </c:spPr>
          <c:cat>
            <c:strRef>
              <c:f>'Scenarios'!$A$16:$A$17</c:f>
              <c:strCache>
                <c:ptCount val="0"/>
              </c:strCache>
            </c:strRef>
          </c:cat>
          <c:val>
            <c:numRef>
              <c:f>'Scenarios'!$D$16:$D$17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EBITDA и FCF Год 1 по сценариям,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Пессимистичный</c:v>
          </c:tx>
          <c:spPr>
            <a:solidFill xmlns:a="http://schemas.openxmlformats.org/drawingml/2006/main">
              <a:srgbClr val="A6A6A6"/>
            </a:solidFill>
          </c:spPr>
          <c:cat>
            <c:strRef>
              <c:f>'Scenarios'!$AE$3:$AE$4</c:f>
              <c:strCache>
                <c:ptCount val="0"/>
              </c:strCache>
            </c:strRef>
          </c:cat>
          <c:val>
            <c:numRef>
              <c:f>'Scenarios'!$AF$3:$AF$4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Базовый</c:v>
          </c:tx>
          <c:spPr>
            <a:solidFill xmlns:a="http://schemas.openxmlformats.org/drawingml/2006/main">
              <a:srgbClr val="17375E"/>
            </a:solidFill>
          </c:spPr>
          <c:cat>
            <c:strRef>
              <c:f>'Scenarios'!$AE$3:$AE$4</c:f>
              <c:strCache>
                <c:ptCount val="0"/>
              </c:strCache>
            </c:strRef>
          </c:cat>
          <c:val>
            <c:numRef>
              <c:f>'Scenarios'!$AG$3:$AG$4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Оптимистичный</c:v>
          </c:tx>
          <c:spPr>
            <a:solidFill xmlns:a="http://schemas.openxmlformats.org/drawingml/2006/main">
              <a:srgbClr val="8BE000"/>
            </a:solidFill>
          </c:spPr>
          <c:cat>
            <c:strRef>
              <c:f>'Scenarios'!$AE$3:$AE$4</c:f>
              <c:strCache>
                <c:ptCount val="0"/>
              </c:strCache>
            </c:strRef>
          </c:cat>
          <c:val>
            <c:numRef>
              <c:f>'Scenarios'!$AH$3:$AH$4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Enterprise Value по сценариям,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Enterprise Value</c:v>
          </c:tx>
          <c:spPr>
            <a:solidFill xmlns:a="http://schemas.openxmlformats.org/drawingml/2006/main">
              <a:srgbClr val="EF3124"/>
            </a:solidFill>
          </c:spPr>
          <c:cat>
            <c:strRef>
              <c:f>'Scenarios'!$B$15:$D$15</c:f>
              <c:strCache>
                <c:ptCount val="0"/>
              </c:strCache>
            </c:strRef>
          </c:cat>
          <c:val>
            <c:numRef>
              <c:f>'Scenarios'!$B$26:$D$26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Ключевые показатели: Год 1 и Год 2, млн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Год 1</c:v>
          </c:tx>
          <c:spPr>
            <a:solidFill xmlns:a="http://schemas.openxmlformats.org/drawingml/2006/main">
              <a:srgbClr val="EF3124"/>
            </a:solidFill>
          </c:spPr>
          <c:cat>
            <c:strRef>
              <c:f>'Summary'!$X$53:$X$57</c:f>
              <c:strCache>
                <c:ptCount val="0"/>
              </c:strCache>
            </c:strRef>
          </c:cat>
          <c:val>
            <c:numRef>
              <c:f>'Summary'!$Y$53:$Y$57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Год 2</c:v>
          </c:tx>
          <c:spPr>
            <a:solidFill xmlns:a="http://schemas.openxmlformats.org/drawingml/2006/main">
              <a:srgbClr val="17375E"/>
            </a:solidFill>
          </c:spPr>
          <c:cat>
            <c:strRef>
              <c:f>'Summary'!$X$53:$X$57</c:f>
              <c:strCache>
                <c:ptCount val="0"/>
              </c:strCache>
            </c:strRef>
          </c:cat>
          <c:val>
            <c:numRef>
              <c:f>'Summary'!$Z$53:$Z$57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Сценарии: EV, Revenue, EBITDA и FCF, ₽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Downside</c:v>
          </c:tx>
          <c:spPr>
            <a:solidFill xmlns:a="http://schemas.openxmlformats.org/drawingml/2006/main">
              <a:srgbClr val="A6A6A6"/>
            </a:solidFill>
          </c:spPr>
          <c:cat>
            <c:strRef>
              <c:f>'Summary'!$F$16:$F$19</c:f>
              <c:strCache>
                <c:ptCount val="0"/>
              </c:strCache>
            </c:strRef>
          </c:cat>
          <c:val>
            <c:numRef>
              <c:f>'Summary'!$G$16:$G$19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Hybrid</c:v>
          </c:tx>
          <c:spPr>
            <a:solidFill xmlns:a="http://schemas.openxmlformats.org/drawingml/2006/main">
              <a:srgbClr val="17375E"/>
            </a:solidFill>
          </c:spPr>
          <c:cat>
            <c:strRef>
              <c:f>'Summary'!$F$16:$F$19</c:f>
              <c:strCache>
                <c:ptCount val="0"/>
              </c:strCache>
            </c:strRef>
          </c:cat>
          <c:val>
            <c:numRef>
              <c:f>'Summary'!$H$16:$H$19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Upside</c:v>
          </c:tx>
          <c:spPr>
            <a:solidFill xmlns:a="http://schemas.openxmlformats.org/drawingml/2006/main">
              <a:srgbClr val="8BE000"/>
            </a:solidFill>
          </c:spPr>
          <c:cat>
            <c:strRef>
              <c:f>'Summary'!$F$16:$F$19</c:f>
              <c:strCache>
                <c:ptCount val="0"/>
              </c:strCache>
            </c:strRef>
          </c:cat>
          <c:val>
            <c:numRef>
              <c:f>'Summary'!$I$16:$I$19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Эффект замедления роста в Год 2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Изменение</c:v>
          </c:tx>
          <c:spPr>
            <a:solidFill xmlns:a="http://schemas.openxmlformats.org/drawingml/2006/main">
              <a:srgbClr val="EF3124"/>
            </a:solidFill>
          </c:spPr>
          <c:cat>
            <c:strRef>
              <c:f>'Summary'!$A$42:$A$49</c:f>
              <c:strCache>
                <c:ptCount val="0"/>
              </c:strCache>
            </c:strRef>
          </c:cat>
          <c:val>
            <c:numRef>
              <c:f>'Summary'!$D$42:$D$49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Параметры модели по статусу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Количество</c:v>
          </c:tx>
          <c:spPr>
            <a:solidFill xmlns:a="http://schemas.openxmlformats.org/drawingml/2006/main">
              <a:srgbClr val="17375E"/>
            </a:solidFill>
          </c:spPr>
          <c:cat>
            <c:strRef>
              <c:f>'Связи модели'!$I$91:$I$94</c:f>
              <c:strCache>
                <c:ptCount val="0"/>
              </c:strCache>
            </c:strRef>
          </c:cat>
          <c:val>
            <c:numRef>
              <c:f>'Связи модели'!$J$91:$J$94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Параметры по разделам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Количество</c:v>
          </c:tx>
          <c:spPr>
            <a:solidFill xmlns:a="http://schemas.openxmlformats.org/drawingml/2006/main">
              <a:srgbClr val="8BE000"/>
            </a:solidFill>
          </c:spPr>
          <c:cat>
            <c:strRef>
              <c:f>'Связи модели'!$L$91:$L$95</c:f>
              <c:strCache>
                <c:ptCount val="0"/>
              </c:strCache>
            </c:strRef>
          </c:cat>
          <c:val>
            <c:numRef>
              <c:f>'Связи модели'!$M$91:$M$95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c218d15f5649eb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22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09f793e1f845ed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22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725f425a1a49e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55</xdr:row>
      <xdr:rowOff>0</xdr:rowOff>
    </xdr:from>
    <xdr:to>
      <xdr:col>9</xdr:col>
      <xdr:colOff>0</xdr:colOff>
      <xdr:row>76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dccad4e91f46a2"/>
        </a:graphicData>
      </a:graphic>
    </xdr:graphicFrame>
    <xdr:clientData/>
  </xdr:twoCellAnchor>
  <xdr:twoCellAnchor>
    <xdr:from>
      <xdr:col>9</xdr:col>
      <xdr:colOff>0</xdr:colOff>
      <xdr:row>55</xdr:row>
      <xdr:rowOff>0</xdr:rowOff>
    </xdr:from>
    <xdr:to>
      <xdr:col>18</xdr:col>
      <xdr:colOff>0</xdr:colOff>
      <xdr:row>76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05061b0c034d4a"/>
        </a:graphicData>
      </a:graphic>
    </xdr:graphicFrame>
    <xdr:clientData/>
  </xdr:twoCellAnchor>
  <xdr:twoCellAnchor>
    <xdr:from>
      <xdr:col>18</xdr:col>
      <xdr:colOff>0</xdr:colOff>
      <xdr:row>55</xdr:row>
      <xdr:rowOff>0</xdr:rowOff>
    </xdr:from>
    <xdr:to>
      <xdr:col>27</xdr:col>
      <xdr:colOff>0</xdr:colOff>
      <xdr:row>76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87daa3e84f4d7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9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e284bfcd9f4ead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18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ba3fca6a854deb"/>
        </a:graphicData>
      </a:graphic>
    </xdr:graphicFrame>
    <xdr:clientData/>
  </xdr:twoCellAnchor>
  <xdr:twoCellAnchor>
    <xdr:from>
      <xdr:col>18</xdr:col>
      <xdr:colOff>0</xdr:colOff>
      <xdr:row>26</xdr:row>
      <xdr:rowOff>0</xdr:rowOff>
    </xdr:from>
    <xdr:to>
      <xdr:col>27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915e9994f4410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04d689994b4def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2619e90478424e"/>
        </a:graphicData>
      </a:graphic>
    </xdr:graphicFrame>
    <xdr:clientData/>
  </xdr:twoCellAnchor>
  <xdr:twoCellAnchor>
    <xdr:from>
      <xdr:col>18</xdr:col>
      <xdr:colOff>0</xdr:colOff>
      <xdr:row>38</xdr:row>
      <xdr:rowOff>0</xdr:rowOff>
    </xdr:from>
    <xdr:to>
      <xdr:col>27</xdr:col>
      <xdr:colOff>0</xdr:colOff>
      <xdr:row>59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d40f596d88421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35</xdr:row>
      <xdr:rowOff>0</xdr:rowOff>
    </xdr:from>
    <xdr:to>
      <xdr:col>9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edd5d6db144719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054ade674042d7"/>
        </a:graphicData>
      </a:graphic>
    </xdr:graphicFrame>
    <xdr:clientData/>
  </xdr:twoCellAnchor>
  <xdr:twoCellAnchor>
    <xdr:from>
      <xdr:col>18</xdr:col>
      <xdr:colOff>0</xdr:colOff>
      <xdr:row>35</xdr:row>
      <xdr:rowOff>0</xdr:rowOff>
    </xdr:from>
    <xdr:to>
      <xdr:col>27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8f6848719b46b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34</xdr:row>
      <xdr:rowOff>0</xdr:rowOff>
    </xdr:from>
    <xdr:to>
      <xdr:col>9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40c2e4601f4523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ac9ef0f9be49ca"/>
        </a:graphicData>
      </a:graphic>
    </xdr:graphicFrame>
    <xdr:clientData/>
  </xdr:twoCellAnchor>
  <xdr:twoCellAnchor>
    <xdr:from>
      <xdr:col>18</xdr:col>
      <xdr:colOff>0</xdr:colOff>
      <xdr:row>34</xdr:row>
      <xdr:rowOff>0</xdr:rowOff>
    </xdr:from>
    <xdr:to>
      <xdr:col>27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448fa423b6409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35</xdr:row>
      <xdr:rowOff>0</xdr:rowOff>
    </xdr:from>
    <xdr:to>
      <xdr:col>9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fa69405f6c41cb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36701e065e4f15"/>
        </a:graphicData>
      </a:graphic>
    </xdr:graphicFrame>
    <xdr:clientData/>
  </xdr:twoCellAnchor>
  <xdr:twoCellAnchor>
    <xdr:from>
      <xdr:col>18</xdr:col>
      <xdr:colOff>0</xdr:colOff>
      <xdr:row>35</xdr:row>
      <xdr:rowOff>0</xdr:rowOff>
    </xdr:from>
    <xdr:to>
      <xdr:col>27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1588693dc04bca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0</xdr:col>
      <xdr:colOff>0</xdr:colOff>
      <xdr:row>94</xdr:row>
      <xdr:rowOff>0</xdr:rowOff>
    </xdr:from>
    <xdr:to>
      <xdr:col>9</xdr:col>
      <xdr:colOff>0</xdr:colOff>
      <xdr:row>115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33577f3a8d4c2d"/>
        </a:graphicData>
      </a:graphic>
    </xdr:graphicFrame>
    <xdr:clientData/>
  </xdr:twoCellAnchor>
  <xdr:twoCellAnchor>
    <xdr:from>
      <xdr:col>9</xdr:col>
      <xdr:colOff>0</xdr:colOff>
      <xdr:row>94</xdr:row>
      <xdr:rowOff>0</xdr:rowOff>
    </xdr:from>
    <xdr:to>
      <xdr:col>18</xdr:col>
      <xdr:colOff>0</xdr:colOff>
      <xdr:row>115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a7c35e289f4f57"/>
        </a:graphicData>
      </a:graphic>
    </xdr:graphicFrame>
    <xdr:clientData/>
  </xdr:twoCellAnchor>
  <xdr:twoCellAnchor>
    <xdr:from>
      <xdr:col>18</xdr:col>
      <xdr:colOff>0</xdr:colOff>
      <xdr:row>94</xdr:row>
      <xdr:rowOff>0</xdr:rowOff>
    </xdr:from>
    <xdr:to>
      <xdr:col>27</xdr:col>
      <xdr:colOff>0</xdr:colOff>
      <xdr:row>115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948271b1194ae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9f5f1d27a344a2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20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b8d94cf84b4124"/>
        </a:graphicData>
      </a:graphic>
    </xdr:graphicFrame>
    <xdr:clientData/>
  </xdr:twoCellAnchor>
  <xdr:twoCellAnchor>
    <xdr:from>
      <xdr:col>11</xdr:col>
      <xdr:colOff>0</xdr:colOff>
      <xdr:row>40</xdr:row>
      <xdr:rowOff>0</xdr:rowOff>
    </xdr:from>
    <xdr:to>
      <xdr:col>20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8bc43120134b7c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98ebbd4f6d48c1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17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a8c927e1194c6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dex" id="{87346F0D-4CD1-7171-177B-BD2CF9C42E74}"/>
</xltc:personList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778efee13604a66" /><Relationship Type="http://schemas.openxmlformats.org/officeDocument/2006/relationships/vmlDrawing" Target="/xl/drawings/vmldrawing.vml" Id="Rb5b7ebc490dd41c5" /><Relationship Type="http://schemas.openxmlformats.org/officeDocument/2006/relationships/drawing" Target="/xl/drawings/drawing1.xml" Id="Rce2921e96f7e43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7a23ca6b53b4b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b035ac5afb94f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f46bb19078904a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da121794680b45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b81ea04c0d3c4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31acfb24a22d41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d077682a31614f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780952f222184bb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bbfade7bdb4c464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8.83203125" defaultRowHeight="15"/>
  <x:cols>
    <x:col min="1" max="1" width="49.83000183105469" hidden="0" customWidth="1"/>
    <x:col min="2" max="2" width="21.15999984741211" hidden="0" customWidth="1"/>
    <x:col min="3" max="3" width="20.329999923706055" hidden="0" customWidth="1"/>
    <x:col min="4" max="4" width="32.5" hidden="0" customWidth="1"/>
    <x:col min="5" max="5" width="20.15999984741211" hidden="0" customWidth="1"/>
  </x:cols>
  <x:sheetData>
    <x:row r="1" ht="21" hidden="0" customHeight="1">
      <x:c r="A1" s="1" t="s">
        <x:v>0</x:v>
      </x:c>
      <x:c r="B1" s="1"/>
      <x:c r="C1" s="1"/>
      <x:c r="D1" s="2"/>
      <x:c r="AA1" s="153" t="str">
        <x:v>Данные для графиков</x:v>
      </x:c>
      <x:c r="AB1" s="153"/>
      <x:c r="AC1" s="153"/>
      <x:c r="AD1" s="153"/>
    </x:row>
    <x:row r="2" ht="15" hidden="0" customHeight="1">
      <x:c r="A2" s="3"/>
      <x:c r="B2" s="3"/>
      <x:c r="C2" s="3"/>
      <x:c r="D2" s="4"/>
      <x:c r="AA2" s="153" t="str">
        <x:v>Рынок</x:v>
      </x:c>
      <x:c r="AB2" s="153" t="str">
        <x:v>Пользователи</x:v>
      </x:c>
      <x:c r="AC2" s="153"/>
      <x:c r="AD2" s="153"/>
    </x:row>
    <x:row r="3" ht="16.5" hidden="0" customHeight="1">
      <x:c r="A3" s="5" t="s">
        <x:v>1</x:v>
      </x:c>
      <x:c r="B3" s="6" t="s">
        <x:v>2</x:v>
      </x:c>
      <x:c r="C3" s="6" t="s">
        <x:v>3</x:v>
      </x:c>
      <x:c r="D3" s="7"/>
      <x:c r="AA3" s="153" t="str">
        <x:v>TAM</x:v>
      </x:c>
      <x:c r="AB3" s="153" t="n">
        <x:f>'Assumptions'!B4</x:f>
        <x:v>13800000</x:v>
      </x:c>
      <x:c r="AC3" s="153"/>
      <x:c r="AD3" s="153"/>
    </x:row>
    <x:row r="4" ht="15" hidden="0" customHeight="1">
      <x:c r="A4" s="8" t="s">
        <x:v>4</x:v>
      </x:c>
      <x:c r="B4" s="9" t="n">
        <x:v>13800000</x:v>
      </x:c>
      <x:c r="C4" s="10" t="s">
        <x:v>5</x:v>
      </x:c>
      <x:c r="D4" s="7"/>
      <x:c r="AA4" s="153" t="str">
        <x:v>SAM</x:v>
      </x:c>
      <x:c r="AB4" s="153" t="n">
        <x:f>'Assumptions'!B5</x:f>
        <x:v>4543500</x:v>
      </x:c>
      <x:c r="AC4" s="153"/>
      <x:c r="AD4" s="153"/>
    </x:row>
    <x:row r="5" ht="42" hidden="0" customHeight="1">
      <x:c r="A5" s="11" t="s">
        <x:v>6</x:v>
      </x:c>
      <x:c r="B5" s="12" t="n">
        <x:v>4543500</x:v>
      </x:c>
      <x:c r="C5" s="13" t="s">
        <x:v>7</x:v>
      </x:c>
      <x:c r="D5" s="7"/>
      <x:c r="AA5" s="153" t="str">
        <x:v>SOM Год 1</x:v>
      </x:c>
      <x:c r="AB5" s="153" t="n">
        <x:f>'Assumptions'!B7</x:f>
        <x:v>181740</x:v>
      </x:c>
      <x:c r="AC5" s="153"/>
      <x:c r="AD5" s="153"/>
    </x:row>
    <x:row r="6" ht="15" hidden="0" customHeight="1">
      <x:c r="A6" s="11" t="s">
        <x:v>8</x:v>
      </x:c>
      <x:c r="B6" s="14" t="n">
        <x:v>0.04</x:v>
      </x:c>
      <x:c r="C6" s="13" t="s">
        <x:v>9</x:v>
      </x:c>
      <x:c r="D6" s="7"/>
      <x:c r="AA6" s="153"/>
      <x:c r="AB6" s="153"/>
      <x:c r="AC6" s="153"/>
      <x:c r="AD6" s="153"/>
    </x:row>
    <x:row r="7" ht="15" hidden="0" customHeight="1">
      <x:c r="A7" s="11" t="s">
        <x:v>10</x:v>
      </x:c>
      <x:c r="B7" s="12" t="n">
        <x:f aca="0">B5*B6</x:f>
        <x:v>181740</x:v>
      </x:c>
      <x:c r="C7" s="13" t="s">
        <x:v>9</x:v>
      </x:c>
      <x:c r="D7" s="7"/>
      <x:c r="AA7" s="153" t="str">
        <x:v>Конверсия</x:v>
      </x:c>
      <x:c r="AB7" s="153" t="str">
        <x:v>Значение</x:v>
      </x:c>
      <x:c r="AC7" s="153"/>
      <x:c r="AD7" s="153"/>
    </x:row>
    <x:row r="8" ht="15" hidden="0" customHeight="1">
      <x:c r="A8" s="11" t="s">
        <x:v>11</x:v>
      </x:c>
      <x:c r="B8" s="12" t="n">
        <x:f aca="0">B7*B10/((1+B10)^12-1)</x:f>
        <x:v>10773.0073196418</x:v>
      </x:c>
      <x:c r="C8" s="13" t="s">
        <x:v>9</x:v>
      </x:c>
      <x:c r="D8" s="7"/>
      <x:c r="AA8" s="153" t="str">
        <x:v>Мэтч</x:v>
      </x:c>
      <x:c r="AB8" s="153" t="n">
        <x:f>'Assumptions'!B18</x:f>
        <x:v>0.25</x:v>
      </x:c>
      <x:c r="AC8" s="153"/>
      <x:c r="AD8" s="153"/>
    </x:row>
    <x:row r="9" ht="15" hidden="0" customHeight="1">
      <x:c r="A9" s="11" t="s">
        <x:v>12</x:v>
      </x:c>
      <x:c r="B9" s="12" t="n">
        <x:v>2200</x:v>
      </x:c>
      <x:c r="C9" s="13" t="s">
        <x:v>9</x:v>
      </x:c>
      <x:c r="D9" s="7"/>
      <x:c r="AA9" s="153" t="str">
        <x:v>Мэтч → чат</x:v>
      </x:c>
      <x:c r="AB9" s="153" t="n">
        <x:f>'Assumptions'!B19</x:f>
        <x:v>0.5</x:v>
      </x:c>
      <x:c r="AC9" s="153"/>
      <x:c r="AD9" s="153"/>
    </x:row>
    <x:row r="10" ht="15" hidden="0" customHeight="1">
      <x:c r="A10" s="11" t="s">
        <x:v>13</x:v>
      </x:c>
      <x:c r="B10" s="14" t="n">
        <x:v>0.06</x:v>
      </x:c>
      <x:c r="C10" s="13" t="s">
        <x:v>9</x:v>
      </x:c>
      <x:c r="D10" s="7"/>
      <x:c r="AA10" s="153" t="str">
        <x:v>Чат → команда</x:v>
      </x:c>
      <x:c r="AB10" s="153" t="n">
        <x:f>'Assumptions'!B20</x:f>
        <x:v>0.1</x:v>
      </x:c>
      <x:c r="AC10" s="153"/>
      <x:c r="AD10" s="153"/>
    </x:row>
    <x:row r="11" ht="15" hidden="0" customHeight="1">
      <x:c r="A11" s="11" t="s">
        <x:v>14</x:v>
      </x:c>
      <x:c r="B11" s="15" t="n">
        <x:v>0.025</x:v>
      </x:c>
      <x:c r="C11" s="13" t="s">
        <x:v>9</x:v>
      </x:c>
      <x:c r="D11" s="7"/>
      <x:c r="AA11" s="153" t="str">
        <x:v>Команда → MVP</x:v>
      </x:c>
      <x:c r="AB11" s="153" t="n">
        <x:f>'Assumptions'!B21</x:f>
        <x:v>0.3</x:v>
      </x:c>
      <x:c r="AC11" s="153"/>
      <x:c r="AD11" s="153"/>
    </x:row>
    <x:row r="12" ht="15" hidden="0" customHeight="1">
      <x:c r="A12" s="11" t="s">
        <x:v>15</x:v>
      </x:c>
      <x:c r="B12" s="14" t="n">
        <x:v>0.8</x:v>
      </x:c>
      <x:c r="C12" s="13" t="s">
        <x:v>9</x:v>
      </x:c>
      <x:c r="D12" s="7"/>
      <x:c r="AA12" s="153" t="str">
        <x:v>MVP → платёжный</x:v>
      </x:c>
      <x:c r="AB12" s="153" t="n">
        <x:f>'Assumptions'!B24</x:f>
        <x:v>0.55</x:v>
      </x:c>
      <x:c r="AC12" s="153"/>
      <x:c r="AD12" s="153"/>
    </x:row>
    <x:row r="13" ht="15" hidden="0" customHeight="1">
      <x:c r="A13" s="11" t="s">
        <x:v>16</x:v>
      </x:c>
      <x:c r="B13" s="14" t="n">
        <x:v>0.65</x:v>
      </x:c>
      <x:c r="C13" s="13" t="s">
        <x:v>9</x:v>
      </x:c>
      <x:c r="D13" s="7"/>
      <x:c r="AA13" s="153"/>
      <x:c r="AB13" s="153"/>
      <x:c r="AC13" s="153"/>
      <x:c r="AD13" s="153"/>
    </x:row>
    <x:row r="14" ht="15" hidden="0" customHeight="1">
      <x:c r="A14" s="11" t="s">
        <x:v>17</x:v>
      </x:c>
      <x:c r="B14" s="14" t="n">
        <x:v>0.08</x:v>
      </x:c>
      <x:c r="C14" s="13" t="s">
        <x:v>9</x:v>
      </x:c>
      <x:c r="D14" s="7"/>
      <x:c r="AA14" s="153" t="str">
        <x:f>'Assumptions'!A78</x:f>
        <x:v>Показатель</x:v>
      </x:c>
      <x:c r="AB14" s="153" t="str">
        <x:f>'Assumptions'!B78</x:f>
        <x:v>Пессимистичный</x:v>
      </x:c>
      <x:c r="AC14" s="153" t="str">
        <x:f>'Assumptions'!C78</x:f>
        <x:v>Базовый</x:v>
      </x:c>
      <x:c r="AD14" s="153" t="str">
        <x:f>'Assumptions'!D78</x:f>
        <x:v>Оптимистичный</x:v>
      </x:c>
    </x:row>
    <x:row r="15" ht="15" hidden="0" customHeight="1">
      <x:c r="A15" s="11" t="s">
        <x:v>18</x:v>
      </x:c>
      <x:c r="B15" s="14" t="n">
        <x:v>0.05</x:v>
      </x:c>
      <x:c r="C15" s="13" t="s">
        <x:v>9</x:v>
      </x:c>
      <x:c r="D15" s="7"/>
      <x:c r="AA15" s="153" t="str">
        <x:f>'Assumptions'!A79</x:f>
        <x:v>RKO revenue multiplier</x:v>
      </x:c>
      <x:c r="AB15" s="153" t="n">
        <x:f>'Assumptions'!B79</x:f>
        <x:v>0.7</x:v>
      </x:c>
      <x:c r="AC15" s="153" t="n">
        <x:f>'Assumptions'!C79</x:f>
        <x:v>1</x:v>
      </x:c>
      <x:c r="AD15" s="153" t="n">
        <x:f>'Assumptions'!D79</x:f>
        <x:v>1.3</x:v>
      </x:c>
    </x:row>
    <x:row r="16" ht="15" hidden="0" customHeight="1">
      <x:c r="A16" s="11" t="s">
        <x:v>19</x:v>
      </x:c>
      <x:c r="B16" s="12" t="n">
        <x:v>10</x:v>
      </x:c>
      <x:c r="C16" s="13" t="s">
        <x:v>9</x:v>
      </x:c>
      <x:c r="D16" s="7"/>
      <x:c r="AA16" s="153" t="str">
        <x:f>'Assumptions'!A80</x:f>
        <x:v>Payments revenue multiplier</x:v>
      </x:c>
      <x:c r="AB16" s="153" t="n">
        <x:f>'Assumptions'!B80</x:f>
        <x:v>0.7</x:v>
      </x:c>
      <x:c r="AC16" s="153" t="n">
        <x:f>'Assumptions'!C80</x:f>
        <x:v>1</x:v>
      </x:c>
      <x:c r="AD16" s="153" t="n">
        <x:f>'Assumptions'!D80</x:f>
        <x:v>1.3</x:v>
      </x:c>
    </x:row>
    <x:row r="17" ht="15" hidden="0" customHeight="1">
      <x:c r="A17" s="11" t="s">
        <x:v>20</x:v>
      </x:c>
      <x:c r="B17" s="12" t="n">
        <x:v>15</x:v>
      </x:c>
      <x:c r="C17" s="13" t="s">
        <x:v>9</x:v>
      </x:c>
      <x:c r="D17" s="7"/>
      <x:c r="AA17" s="153" t="str">
        <x:f>'Assumptions'!A81</x:f>
        <x:v>Team cost multiplier</x:v>
      </x:c>
      <x:c r="AB17" s="153" t="n">
        <x:f>'Assumptions'!B81</x:f>
        <x:v>1.1</x:v>
      </x:c>
      <x:c r="AC17" s="153" t="n">
        <x:f>'Assumptions'!C81</x:f>
        <x:v>1</x:v>
      </x:c>
      <x:c r="AD17" s="153" t="n">
        <x:f>'Assumptions'!D81</x:f>
        <x:v>0.9</x:v>
      </x:c>
    </x:row>
    <x:row r="18" ht="15" hidden="0" customHeight="1">
      <x:c r="A18" s="11" t="s">
        <x:v>21</x:v>
      </x:c>
      <x:c r="B18" s="14" t="n">
        <x:v>0.25</x:v>
      </x:c>
      <x:c r="C18" s="13" t="s">
        <x:v>22</x:v>
      </x:c>
      <x:c r="D18" s="7"/>
      <x:c r="AA18" s="153" t="str">
        <x:f>'Assumptions'!A82</x:f>
        <x:v>Marketing cost multiplier</x:v>
      </x:c>
      <x:c r="AB18" s="153" t="n">
        <x:f>'Assumptions'!B82</x:f>
        <x:v>1.15</x:v>
      </x:c>
      <x:c r="AC18" s="153" t="n">
        <x:f>'Assumptions'!C82</x:f>
        <x:v>1</x:v>
      </x:c>
      <x:c r="AD18" s="153" t="n">
        <x:f>'Assumptions'!D82</x:f>
        <x:v>0.85</x:v>
      </x:c>
    </x:row>
    <x:row r="19" ht="15" hidden="0" customHeight="1">
      <x:c r="A19" s="11" t="s">
        <x:v>23</x:v>
      </x:c>
      <x:c r="B19" s="14" t="n">
        <x:v>0.5</x:v>
      </x:c>
      <x:c r="C19" s="13" t="s">
        <x:v>22</x:v>
      </x:c>
      <x:c r="D19" s="7"/>
      <x:c r="AA19" s="153" t="str">
        <x:f>'Assumptions'!A83</x:f>
        <x:v>Infrastructure cost multiplier</x:v>
      </x:c>
      <x:c r="AB19" s="153" t="n">
        <x:f>'Assumptions'!B83</x:f>
        <x:v>1.15</x:v>
      </x:c>
      <x:c r="AC19" s="153" t="n">
        <x:f>'Assumptions'!C83</x:f>
        <x:v>1</x:v>
      </x:c>
      <x:c r="AD19" s="153" t="n">
        <x:f>'Assumptions'!D83</x:f>
        <x:v>0.85</x:v>
      </x:c>
    </x:row>
    <x:row r="20" ht="15" hidden="0" customHeight="1">
      <x:c r="A20" s="11" t="s">
        <x:v>24</x:v>
      </x:c>
      <x:c r="B20" s="14" t="n">
        <x:v>0.1</x:v>
      </x:c>
      <x:c r="C20" s="13" t="s">
        <x:v>22</x:v>
      </x:c>
      <x:c r="D20" s="7"/>
      <x:c r="AA20" s="153" t="str">
        <x:f>'Assumptions'!A84</x:f>
        <x:v>CAPEX multiplier</x:v>
      </x:c>
      <x:c r="AB20" s="153" t="n">
        <x:f>'Assumptions'!B84</x:f>
        <x:v>1.15</x:v>
      </x:c>
      <x:c r="AC20" s="153" t="n">
        <x:f>'Assumptions'!C84</x:f>
        <x:v>1</x:v>
      </x:c>
      <x:c r="AD20" s="153" t="n">
        <x:f>'Assumptions'!D84</x:f>
        <x:v>0.85</x:v>
      </x:c>
    </x:row>
    <x:row r="21" ht="15" hidden="0" customHeight="1">
      <x:c r="A21" s="11" t="s">
        <x:v>25</x:v>
      </x:c>
      <x:c r="B21" s="14" t="n">
        <x:v>0.3</x:v>
      </x:c>
      <x:c r="C21" s="13" t="s">
        <x:v>9</x:v>
      </x:c>
      <x:c r="D21" s="7"/>
    </x:row>
    <x:row r="22" ht="15" hidden="0" customHeight="1">
      <x:c r="A22" s="11" t="s">
        <x:v>26</x:v>
      </x:c>
      <x:c r="B22" s="16" t="n">
        <x:v>3</x:v>
      </x:c>
      <x:c r="C22" s="13" t="s">
        <x:v>9</x:v>
      </x:c>
      <x:c r="D22" s="7"/>
    </x:row>
    <x:row r="23" ht="15" hidden="0" customHeight="1">
      <x:c r="A23" s="11" t="s">
        <x:v>27</x:v>
      </x:c>
      <x:c r="B23" s="17" t="n">
        <x:v>1</x:v>
      </x:c>
      <x:c r="C23" s="13" t="s">
        <x:v>28</x:v>
      </x:c>
      <x:c r="D23" s="7"/>
    </x:row>
    <x:row r="24" ht="15" hidden="0" customHeight="1">
      <x:c r="A24" s="11" t="s">
        <x:v>29</x:v>
      </x:c>
      <x:c r="B24" s="14" t="n">
        <x:v>0.55</x:v>
      </x:c>
      <x:c r="C24" s="13" t="s">
        <x:v>9</x:v>
      </x:c>
      <x:c r="D24" s="7"/>
    </x:row>
    <x:row r="25" ht="15" hidden="0" customHeight="1">
      <x:c r="A25" s="11" t="s">
        <x:v>30</x:v>
      </x:c>
      <x:c r="B25" s="14" t="n">
        <x:v>0.45</x:v>
      </x:c>
      <x:c r="C25" s="13" t="s">
        <x:v>9</x:v>
      </x:c>
      <x:c r="D25" s="7"/>
    </x:row>
    <x:row r="26" ht="15" hidden="0" customHeight="1">
      <x:c r="A26" s="11" t="s">
        <x:v>31</x:v>
      </x:c>
      <x:c r="B26" s="14" t="n">
        <x:v>0.65</x:v>
      </x:c>
      <x:c r="C26" s="13" t="s">
        <x:v>9</x:v>
      </x:c>
      <x:c r="D26" s="7"/>
    </x:row>
    <x:row r="27" ht="15" hidden="0" customHeight="1">
      <x:c r="A27" s="11" t="s">
        <x:v>32</x:v>
      </x:c>
      <x:c r="B27" s="14" t="n">
        <x:v>0.35</x:v>
      </x:c>
      <x:c r="C27" s="13" t="s">
        <x:v>9</x:v>
      </x:c>
      <x:c r="D27" s="7"/>
    </x:row>
    <x:row r="28" ht="15" hidden="0" customHeight="1">
      <x:c r="A28" s="11" t="s">
        <x:v>33</x:v>
      </x:c>
      <x:c r="B28" s="14" t="n">
        <x:v>0.015</x:v>
      </x:c>
      <x:c r="C28" s="13" t="s">
        <x:v>9</x:v>
      </x:c>
      <x:c r="D28" s="7"/>
    </x:row>
    <x:row r="29" ht="15" hidden="0" customHeight="1">
      <x:c r="A29" s="11" t="s">
        <x:v>34</x:v>
      </x:c>
      <x:c r="B29" s="14" t="n">
        <x:v>0.02</x:v>
      </x:c>
      <x:c r="C29" s="13" t="s">
        <x:v>9</x:v>
      </x:c>
      <x:c r="D29" s="7"/>
    </x:row>
    <x:row r="30" ht="15" hidden="0" customHeight="1">
      <x:c r="A30" s="11" t="s">
        <x:v>35</x:v>
      </x:c>
      <x:c r="B30" s="18" t="n">
        <x:v>1600</x:v>
      </x:c>
      <x:c r="C30" s="13" t="s">
        <x:v>9</x:v>
      </x:c>
      <x:c r="D30" s="7"/>
    </x:row>
    <x:row r="31" ht="15" hidden="0" customHeight="1">
      <x:c r="A31" s="11" t="s">
        <x:v>36</x:v>
      </x:c>
      <x:c r="B31" s="18" t="n">
        <x:v>2200</x:v>
      </x:c>
      <x:c r="C31" s="13" t="s">
        <x:v>9</x:v>
      </x:c>
      <x:c r="D31" s="7"/>
    </x:row>
    <x:row r="32" ht="15" hidden="0" customHeight="1">
      <x:c r="A32" s="11" t="s">
        <x:v>37</x:v>
      </x:c>
      <x:c r="B32" s="18" t="n">
        <x:v>6000000</x:v>
      </x:c>
      <x:c r="C32" s="13" t="s">
        <x:v>9</x:v>
      </x:c>
      <x:c r="D32" s="7"/>
    </x:row>
    <x:row r="33" ht="15" hidden="0" customHeight="1">
      <x:c r="A33" s="11" t="s">
        <x:v>38</x:v>
      </x:c>
      <x:c r="B33" s="18" t="n">
        <x:v>2000000</x:v>
      </x:c>
      <x:c r="C33" s="13" t="s">
        <x:v>9</x:v>
      </x:c>
      <x:c r="D33" s="7"/>
    </x:row>
    <x:row r="34" ht="15" hidden="0" customHeight="1">
      <x:c r="A34" s="11" t="s">
        <x:v>39</x:v>
      </x:c>
      <x:c r="B34" s="18" t="n">
        <x:v>2600000</x:v>
      </x:c>
      <x:c r="C34" s="13" t="s">
        <x:v>9</x:v>
      </x:c>
      <x:c r="D34" s="7"/>
    </x:row>
    <x:row r="35" ht="15" hidden="0" customHeight="1">
      <x:c r="A35" s="11" t="s">
        <x:v>40</x:v>
      </x:c>
      <x:c r="B35" s="18" t="n">
        <x:v>3200000</x:v>
      </x:c>
      <x:c r="C35" s="13" t="s">
        <x:v>9</x:v>
      </x:c>
      <x:c r="D35" s="7"/>
    </x:row>
    <x:row r="36" ht="15" hidden="0" customHeight="1">
      <x:c r="A36" s="11" t="s">
        <x:v>41</x:v>
      </x:c>
      <x:c r="B36" s="18" t="n">
        <x:f t="array" aca="0" ref="B36:B36">IF(B44&gt;0,B44,$B$38/(Costs!$B$7+Costs!$C$7*(1+$B$40)^1+Costs!$D$7*(1+$B$40)^2+Costs!$E$7*(1+$B$40)^3+Costs!$F$7*(1+$B$40)^4+Costs!$G$7*(1+$B$40)^5+Costs!$H$7*(1+$B$40)^6+Costs!$I$7*(1+$B$40)^7+Costs!$J$7*(1+$B$40)^8+Costs!$K$7*(1+$B$40)^9+Costs!$L$7*(1+$B$40)^10+Costs!$M$7*(1+$B$40)^11))</x:f>
        <x:v>80.66166284145898</x:v>
      </x:c>
      <x:c r="C36" s="13" t="s">
        <x:v>9</x:v>
      </x:c>
      <x:c r="D36" s="7"/>
    </x:row>
    <x:row r="37" ht="15" hidden="0" customHeight="1">
      <x:c r="A37" s="11" t="s">
        <x:v>42</x:v>
      </x:c>
      <x:c r="B37" s="18" t="n">
        <x:f aca="0">Costs!$B$18</x:f>
        <x:v>1046424.3424567267</x:v>
      </x:c>
      <x:c r="C37" s="13" t="s">
        <x:v>9</x:v>
      </x:c>
      <x:c r="D37" s="7"/>
    </x:row>
    <x:row r="38" ht="15" hidden="0" customHeight="1">
      <x:c r="A38" s="11" t="s">
        <x:v>43</x:v>
      </x:c>
      <x:c r="B38" s="18" t="n">
        <x:v>20000000</x:v>
      </x:c>
      <x:c r="C38" s="13" t="s">
        <x:v>9</x:v>
      </x:c>
    </x:row>
    <x:row r="39" ht="15" hidden="0" customHeight="1">
      <x:c r="A39" s="11" t="s">
        <x:v>44</x:v>
      </x:c>
      <x:c r="B39" s="18" t="n">
        <x:v>40000000</x:v>
      </x:c>
      <x:c r="C39" s="13" t="s">
        <x:v>9</x:v>
      </x:c>
      <x:c r="D39" s="19"/>
      <x:c r="E39" s="20"/>
    </x:row>
    <x:row r="40" ht="15" hidden="0" customHeight="1">
      <x:c r="A40" s="11" t="s">
        <x:v>45</x:v>
      </x:c>
      <x:c r="B40" s="14" t="n">
        <x:v>0.02</x:v>
      </x:c>
      <x:c r="C40" s="13" t="s">
        <x:v>9</x:v>
      </x:c>
      <x:c r="D40" s="7"/>
    </x:row>
    <x:row r="41" ht="15" hidden="0" customHeight="1">
      <x:c r="A41" s="11" t="s">
        <x:v>46</x:v>
      </x:c>
      <x:c r="B41" s="14" t="n">
        <x:f aca="0">$B$52</x:f>
        <x:v>0.1</x:v>
      </x:c>
      <x:c r="C41" s="13" t="s">
        <x:v>9</x:v>
      </x:c>
      <x:c r="D41" s="7"/>
    </x:row>
    <x:row r="42" ht="15" hidden="0" customHeight="1">
      <x:c r="A42" s="11" t="s">
        <x:v>47</x:v>
      </x:c>
      <x:c r="B42" s="18" t="n">
        <x:v>300000</x:v>
      </x:c>
      <x:c r="C42" s="13" t="s">
        <x:v>9</x:v>
      </x:c>
      <x:c r="D42" s="7"/>
    </x:row>
    <x:row r="43" ht="15" hidden="0" customHeight="1">
      <x:c r="A43" s="21" t="s">
        <x:v>48</x:v>
      </x:c>
      <x:c r="B43" s="22" t="n">
        <x:v>5</x:v>
      </x:c>
      <x:c r="C43" s="23" t="s">
        <x:v>9</x:v>
      </x:c>
      <x:c r="D43" s="7"/>
    </x:row>
    <x:row r="44" ht="15" hidden="0" customHeight="1">
      <x:c r="A44" s="24" t="s">
        <x:v>49</x:v>
      </x:c>
      <x:c r="B44" s="25"/>
      <x:c r="C44" s="26" t="s">
        <x:v>50</x:v>
      </x:c>
      <x:c r="D44" s="7"/>
    </x:row>
    <x:row r="45" ht="15.75" hidden="0" customHeight="1">
      <x:c r="A45" s="27" t="s">
        <x:v>51</x:v>
      </x:c>
      <x:c r="B45" s="28"/>
      <x:c r="C45" s="29"/>
      <x:c r="D45" s="30"/>
    </x:row>
    <x:row r="46" ht="15" hidden="0" customHeight="1">
      <x:c r="A46" s="31" t="s">
        <x:v>52</x:v>
      </x:c>
      <x:c r="B46" s="32" t="n">
        <x:v>0.6</x:v>
      </x:c>
      <x:c r="C46" s="33" t="s">
        <x:v>9</x:v>
      </x:c>
      <x:c r="D46" s="7"/>
    </x:row>
    <x:row r="47" ht="15" hidden="0" customHeight="1">
      <x:c r="A47" s="11" t="s">
        <x:v>53</x:v>
      </x:c>
      <x:c r="B47" s="18" t="n">
        <x:v>3.75</x:v>
      </x:c>
      <x:c r="C47" s="13" t="s">
        <x:v>9</x:v>
      </x:c>
      <x:c r="D47" s="7"/>
    </x:row>
    <x:row r="48" ht="15" hidden="0" customHeight="1">
      <x:c r="A48" s="11" t="s">
        <x:v>54</x:v>
      </x:c>
      <x:c r="B48" s="14" t="n">
        <x:v>0.25</x:v>
      </x:c>
      <x:c r="C48" s="13" t="s">
        <x:v>9</x:v>
      </x:c>
      <x:c r="D48" s="7"/>
    </x:row>
    <x:row r="49" ht="15" hidden="0" customHeight="1">
      <x:c r="A49" s="11" t="s">
        <x:v>55</x:v>
      </x:c>
      <x:c r="B49" s="14" t="n">
        <x:v>0.2</x:v>
      </x:c>
      <x:c r="C49" s="13" t="s">
        <x:v>9</x:v>
      </x:c>
      <x:c r="D49" s="7"/>
    </x:row>
    <x:row r="50" ht="15" hidden="0" customHeight="1">
      <x:c r="A50" s="11" t="s">
        <x:v>56</x:v>
      </x:c>
      <x:c r="B50" s="18" t="n">
        <x:v>7.5</x:v>
      </x:c>
      <x:c r="C50" s="13" t="s">
        <x:v>9</x:v>
      </x:c>
      <x:c r="D50" s="7"/>
    </x:row>
    <x:row r="51" ht="15" hidden="0" customHeight="1">
      <x:c r="A51" s="11" t="s">
        <x:v>57</x:v>
      </x:c>
      <x:c r="B51" s="14" t="n">
        <x:v>0.1667</x:v>
      </x:c>
      <x:c r="C51" s="13" t="s">
        <x:v>9</x:v>
      </x:c>
      <x:c r="D51" s="7"/>
    </x:row>
    <x:row r="52" ht="15" hidden="0" customHeight="1">
      <x:c r="A52" s="11" t="s">
        <x:v>58</x:v>
      </x:c>
      <x:c r="B52" s="14" t="n">
        <x:v>0.1</x:v>
      </x:c>
      <x:c r="C52" s="13" t="s">
        <x:v>9</x:v>
      </x:c>
      <x:c r="D52" s="7"/>
    </x:row>
    <x:row r="53" ht="15" hidden="0" customHeight="1">
      <x:c r="A53" s="11" t="s">
        <x:v>59</x:v>
      </x:c>
      <x:c r="B53" s="18" t="n">
        <x:v>50</x:v>
      </x:c>
      <x:c r="C53" s="13" t="s">
        <x:v>9</x:v>
      </x:c>
      <x:c r="D53" s="7"/>
    </x:row>
    <x:row r="54" ht="15" hidden="0" customHeight="1">
      <x:c r="A54" s="11" t="s">
        <x:v>60</x:v>
      </x:c>
      <x:c r="B54" s="14" t="n">
        <x:v>0.8</x:v>
      </x:c>
      <x:c r="C54" s="13" t="s">
        <x:v>9</x:v>
      </x:c>
      <x:c r="D54" s="7"/>
    </x:row>
    <x:row r="55" ht="15" hidden="0" customHeight="1">
      <x:c r="A55" s="11" t="s">
        <x:v>61</x:v>
      </x:c>
      <x:c r="B55" s="14" t="n">
        <x:v>0.05</x:v>
      </x:c>
      <x:c r="C55" s="13" t="s">
        <x:v>9</x:v>
      </x:c>
      <x:c r="D55" s="7"/>
    </x:row>
    <x:row r="56" ht="15" hidden="0" customHeight="1">
      <x:c r="A56" s="11" t="s">
        <x:v>62</x:v>
      </x:c>
      <x:c r="B56" s="18" t="n">
        <x:v>10.8</x:v>
      </x:c>
      <x:c r="C56" s="13" t="s">
        <x:v>63</x:v>
      </x:c>
      <x:c r="D56" s="7"/>
    </x:row>
    <x:row r="57" ht="15" hidden="0" customHeight="1">
      <x:c r="A57" s="11" t="s">
        <x:v>64</x:v>
      </x:c>
      <x:c r="B57" s="14" t="n">
        <x:v>0.12</x:v>
      </x:c>
      <x:c r="C57" s="13" t="s">
        <x:v>9</x:v>
      </x:c>
      <x:c r="D57" s="7"/>
    </x:row>
    <x:row r="58" ht="15" hidden="0" customHeight="1">
      <x:c r="A58" s="11" t="s">
        <x:v>65</x:v>
      </x:c>
      <x:c r="B58" s="14" t="n">
        <x:v>0.03</x:v>
      </x:c>
      <x:c r="C58" s="13" t="s">
        <x:v>9</x:v>
      </x:c>
      <x:c r="D58" s="7"/>
    </x:row>
    <x:row r="59" ht="15" hidden="0" customHeight="1">
      <x:c r="A59" s="11" t="s">
        <x:v>66</x:v>
      </x:c>
      <x:c r="B59" s="18" t="n">
        <x:v>27</x:v>
      </x:c>
      <x:c r="C59" s="13" t="s">
        <x:v>67</x:v>
      </x:c>
      <x:c r="D59" s="7"/>
    </x:row>
    <x:row r="60" ht="15" hidden="0" customHeight="1">
      <x:c r="A60" s="11" t="s">
        <x:v>68</x:v>
      </x:c>
      <x:c r="B60" s="14" t="n">
        <x:v>0.15</x:v>
      </x:c>
      <x:c r="C60" s="13" t="s">
        <x:v>9</x:v>
      </x:c>
      <x:c r="D60" s="7"/>
    </x:row>
    <x:row r="61" ht="15" hidden="0" customHeight="1">
      <x:c r="A61" s="11" t="s">
        <x:v>69</x:v>
      </x:c>
      <x:c r="B61" s="14" t="n">
        <x:v>0.02</x:v>
      </x:c>
      <x:c r="C61" s="13" t="s">
        <x:v>9</x:v>
      </x:c>
      <x:c r="D61" s="7"/>
    </x:row>
    <x:row r="62" ht="15" hidden="0" customHeight="1">
      <x:c r="A62" s="11" t="s">
        <x:v>70</x:v>
      </x:c>
      <x:c r="B62" s="18" t="n">
        <x:v>30</x:v>
      </x:c>
      <x:c r="C62" s="13" t="s">
        <x:v>9</x:v>
      </x:c>
      <x:c r="D62" s="7"/>
    </x:row>
    <x:row r="63" ht="15" hidden="0" customHeight="1">
      <x:c r="A63" s="11" t="s">
        <x:v>71</x:v>
      </x:c>
      <x:c r="B63" s="14" t="n">
        <x:v>0.1</x:v>
      </x:c>
      <x:c r="C63" s="13" t="s">
        <x:v>9</x:v>
      </x:c>
      <x:c r="D63" s="7"/>
    </x:row>
    <x:row r="64" ht="15" hidden="0" customHeight="1">
      <x:c r="A64" s="11" t="s">
        <x:v>72</x:v>
      </x:c>
      <x:c r="B64" s="14" t="n">
        <x:v>0.07</x:v>
      </x:c>
      <x:c r="C64" s="13" t="s">
        <x:v>9</x:v>
      </x:c>
      <x:c r="D64" s="7"/>
    </x:row>
    <x:row r="65" ht="15" hidden="0" customHeight="1">
      <x:c r="A65" s="11" t="s">
        <x:v>73</x:v>
      </x:c>
      <x:c r="B65" s="14" t="n">
        <x:v>0.03</x:v>
      </x:c>
      <x:c r="C65" s="13" t="s">
        <x:v>9</x:v>
      </x:c>
      <x:c r="D65" s="7"/>
    </x:row>
    <x:row r="66" ht="15" hidden="0" customHeight="1">
      <x:c r="A66" s="11" t="s">
        <x:v>74</x:v>
      </x:c>
      <x:c r="B66" s="34" t="n">
        <x:v>1.5</x:v>
      </x:c>
      <x:c r="C66" s="13" t="s">
        <x:v>9</x:v>
      </x:c>
      <x:c r="D66" s="7"/>
    </x:row>
    <x:row r="67" ht="15" hidden="0" customHeight="1">
      <x:c r="A67" s="11" t="s">
        <x:v>75</x:v>
      </x:c>
      <x:c r="B67" s="34" t="n">
        <x:v>0.7</x:v>
      </x:c>
      <x:c r="C67" s="13" t="s">
        <x:v>9</x:v>
      </x:c>
      <x:c r="D67" s="7"/>
    </x:row>
    <x:row r="68" ht="15" hidden="0" customHeight="1">
      <x:c r="A68" s="11" t="s">
        <x:v>76</x:v>
      </x:c>
      <x:c r="B68" s="12" t="n">
        <x:v>6</x:v>
      </x:c>
      <x:c r="C68" s="13" t="s">
        <x:v>9</x:v>
      </x:c>
      <x:c r="D68" s="7"/>
    </x:row>
    <x:row r="69" ht="15" hidden="0" customHeight="1">
      <x:c r="A69" s="11" t="s">
        <x:v>77</x:v>
      </x:c>
      <x:c r="B69" s="12" t="n">
        <x:v>12</x:v>
      </x:c>
      <x:c r="C69" s="13" t="s">
        <x:v>9</x:v>
      </x:c>
      <x:c r="D69" s="7"/>
    </x:row>
    <x:row r="70" ht="15" hidden="0" customHeight="1">
      <x:c r="A70" s="11" t="s">
        <x:v>78</x:v>
      </x:c>
      <x:c r="B70" s="14" t="n">
        <x:v>0.2</x:v>
      </x:c>
      <x:c r="C70" s="13" t="s">
        <x:v>9</x:v>
      </x:c>
      <x:c r="D70" s="7"/>
    </x:row>
    <x:row r="71" ht="15" hidden="0" customHeight="1">
      <x:c r="D71" s="30"/>
    </x:row>
    <x:row r="72" ht="15.75" hidden="0" customHeight="1">
      <x:c r="A72" s="27" t="s">
        <x:v>79</x:v>
      </x:c>
      <x:c r="B72" s="28"/>
      <x:c r="C72" s="29"/>
      <x:c r="D72" s="7"/>
    </x:row>
    <x:row r="73" ht="15" hidden="0" customHeight="1">
      <x:c r="A73" s="31" t="s">
        <x:v>80</x:v>
      </x:c>
      <x:c r="B73" s="32" t="n">
        <x:v>0.2</x:v>
      </x:c>
      <x:c r="C73" s="33" t="s">
        <x:v>9</x:v>
      </x:c>
      <x:c r="D73" s="7"/>
    </x:row>
    <x:row r="74" ht="15" hidden="0" customHeight="1">
      <x:c r="A74" s="11" t="s">
        <x:v>81</x:v>
      </x:c>
      <x:c r="B74" s="12" t="n">
        <x:v>24</x:v>
      </x:c>
      <x:c r="C74" s="13" t="s">
        <x:v>9</x:v>
      </x:c>
      <x:c r="D74" s="7"/>
    </x:row>
    <x:row r="75" ht="15" hidden="0" customHeight="1">
      <x:c r="A75" s="11" t="s">
        <x:v>82</x:v>
      </x:c>
      <x:c r="B75" s="12" t="n">
        <x:v>1</x:v>
      </x:c>
      <x:c r="C75" s="13" t="s">
        <x:v>9</x:v>
      </x:c>
      <x:c r="D75" s="7"/>
    </x:row>
    <x:row r="77" ht="15.75" hidden="0" customHeight="1">
      <x:c r="A77" s="27" t="s">
        <x:v>83</x:v>
      </x:c>
      <x:c r="B77" s="27"/>
      <x:c r="C77" s="27"/>
      <x:c r="D77" s="27"/>
      <x:c r="E77" s="35"/>
    </x:row>
    <x:row r="78" ht="16.5" hidden="0" customHeight="1">
      <x:c r="A78" s="36" t="s">
        <x:v>84</x:v>
      </x:c>
      <x:c r="B78" s="37" t="s">
        <x:v>85</x:v>
      </x:c>
      <x:c r="C78" s="37" t="s">
        <x:v>86</x:v>
      </x:c>
      <x:c r="D78" s="37" t="s">
        <x:v>87</x:v>
      </x:c>
      <x:c r="E78" s="37" t="s">
        <x:v>88</x:v>
      </x:c>
    </x:row>
    <x:row r="79" ht="27.75" hidden="0" customHeight="1">
      <x:c r="A79" s="38" t="s">
        <x:v>89</x:v>
      </x:c>
      <x:c r="B79" s="39" t="n">
        <x:v>0.7</x:v>
      </x:c>
      <x:c r="C79" s="39" t="n">
        <x:v>1</x:v>
      </x:c>
      <x:c r="D79" s="39" t="n">
        <x:v>1.3</x:v>
      </x:c>
      <x:c r="E79" s="10" t="s">
        <x:v>90</x:v>
      </x:c>
    </x:row>
    <x:row r="80" ht="27.75" hidden="0" customHeight="1">
      <x:c r="A80" s="40" t="s">
        <x:v>91</x:v>
      </x:c>
      <x:c r="B80" s="41" t="n">
        <x:v>0.7</x:v>
      </x:c>
      <x:c r="C80" s="41" t="n">
        <x:v>1</x:v>
      </x:c>
      <x:c r="D80" s="41" t="n">
        <x:v>1.3</x:v>
      </x:c>
      <x:c r="E80" s="13" t="s">
        <x:v>92</x:v>
      </x:c>
    </x:row>
    <x:row r="81" ht="42" hidden="0" customHeight="1">
      <x:c r="A81" s="40" t="s">
        <x:v>93</x:v>
      </x:c>
      <x:c r="B81" s="41" t="n">
        <x:v>1.1</x:v>
      </x:c>
      <x:c r="C81" s="41" t="n">
        <x:v>1</x:v>
      </x:c>
      <x:c r="D81" s="41" t="n">
        <x:v>0.9</x:v>
      </x:c>
      <x:c r="E81" s="13" t="s">
        <x:v>94</x:v>
      </x:c>
    </x:row>
    <x:row r="82" ht="42" hidden="0" customHeight="1">
      <x:c r="A82" s="40" t="s">
        <x:v>95</x:v>
      </x:c>
      <x:c r="B82" s="41" t="n">
        <x:v>1.15</x:v>
      </x:c>
      <x:c r="C82" s="41" t="n">
        <x:v>1</x:v>
      </x:c>
      <x:c r="D82" s="41" t="n">
        <x:v>0.85</x:v>
      </x:c>
      <x:c r="E82" s="13" t="s">
        <x:v>96</x:v>
      </x:c>
    </x:row>
    <x:row r="83" ht="42" hidden="0" customHeight="1">
      <x:c r="A83" s="40" t="s">
        <x:v>97</x:v>
      </x:c>
      <x:c r="B83" s="41" t="n">
        <x:v>1.15</x:v>
      </x:c>
      <x:c r="C83" s="41" t="n">
        <x:v>1</x:v>
      </x:c>
      <x:c r="D83" s="41" t="n">
        <x:v>0.85</x:v>
      </x:c>
      <x:c r="E83" s="13" t="s">
        <x:v>98</x:v>
      </x:c>
    </x:row>
    <x:row r="84" ht="42" hidden="0" customHeight="1">
      <x:c r="A84" s="40" t="s">
        <x:v>99</x:v>
      </x:c>
      <x:c r="B84" s="41" t="n">
        <x:v>1.15</x:v>
      </x:c>
      <x:c r="C84" s="41" t="n">
        <x:v>1</x:v>
      </x:c>
      <x:c r="D84" s="41" t="n">
        <x:v>0.85</x:v>
      </x:c>
      <x:c r="E84" s="13" t="s">
        <x:v>100</x:v>
      </x:c>
    </x:row>
    <x:row r="85" ht="27.75" hidden="0" customHeight="1">
      <x:c r="A85" s="42" t="s">
        <x:v>101</x:v>
      </x:c>
      <x:c r="B85" s="15" t="n">
        <x:v>0.03</x:v>
      </x:c>
      <x:c r="C85" s="15" t="n">
        <x:v>0.05</x:v>
      </x:c>
      <x:c r="D85" s="15" t="n">
        <x:v>0.07</x:v>
      </x:c>
      <x:c r="E85" s="23" t="s">
        <x:v>102</x:v>
      </x:c>
    </x:row>
    <x:row r="87" ht="13.5" hidden="0" customHeight="1">
      <x:c r="A87" s="27" t="s">
        <x:v>103</x:v>
      </x:c>
      <x:c r="B87" s="27"/>
      <x:c r="C87" s="27"/>
      <x:c r="D87" s="27"/>
      <x:c r="E87" s="35"/>
    </x:row>
    <x:row r="88" ht="13.5" hidden="0" customHeight="1">
      <x:c r="A88" s="36" t="s">
        <x:v>104</x:v>
      </x:c>
      <x:c r="B88" s="37" t="s">
        <x:v>2</x:v>
      </x:c>
      <x:c r="C88" s="37" t="s">
        <x:v>105</x:v>
      </x:c>
      <x:c r="D88" s="37"/>
      <x:c r="E88" s="37"/>
    </x:row>
    <x:row r="89" ht="15" hidden="0" customHeight="1">
      <x:c r="A89" s="11" t="s">
        <x:v>106</x:v>
      </x:c>
      <x:c r="B89" s="18" t="n">
        <x:v>150000</x:v>
      </x:c>
      <x:c r="C89" s="13" t="s">
        <x:v>107</x:v>
      </x:c>
      <x:c r="D89" s="19"/>
      <x:c r="E89" s="20"/>
    </x:row>
    <x:row r="90" ht="15" hidden="0" customHeight="1">
      <x:c r="A90" s="11" t="s">
        <x:v>108</x:v>
      </x:c>
      <x:c r="B90" s="43" t="n">
        <x:v>1.5</x:v>
      </x:c>
      <x:c r="C90" s="13" t="s">
        <x:v>109</x:v>
      </x:c>
      <x:c r="D90" s="19"/>
      <x:c r="E90" s="20"/>
    </x:row>
    <x:row r="91" ht="15" hidden="0" customHeight="1">
      <x:c r="A91" s="11" t="s">
        <x:v>110</x:v>
      </x:c>
      <x:c r="B91" s="18" t="n">
        <x:v>2000000</x:v>
      </x:c>
      <x:c r="C91" s="13" t="s">
        <x:v>107</x:v>
      </x:c>
      <x:c r="D91" s="19"/>
      <x:c r="E91" s="20"/>
    </x:row>
    <x:row r="92" ht="15" hidden="0" customHeight="1">
      <x:c r="A92" s="11" t="s">
        <x:v>111</x:v>
      </x:c>
      <x:c r="B92" s="14" t="n">
        <x:v>0.1</x:v>
      </x:c>
      <x:c r="C92" s="13" t="s">
        <x:v>112</x:v>
      </x:c>
      <x:c r="D92" s="19"/>
      <x:c r="E92" s="20"/>
    </x:row>
    <x:row r="93" ht="15" hidden="0" customHeight="1">
      <x:c r="A93" s="11"/>
      <x:c r="B93" s="18"/>
      <x:c r="C93" s="13"/>
      <x:c r="D93" s="19"/>
      <x:c r="E93" s="20"/>
    </x:row>
    <x:row r="94" ht="13.5" hidden="1" customHeight="1">
      <x:c r="A94" s="38" t="s">
        <x:v>113</x:v>
      </x:c>
      <x:c r="B94" s="9" t="n">
        <x:f aca="0">'P&amp;L'!Z9-'Banking Revenue'!Z15</x:f>
        <x:v>0</x:v>
      </x:c>
      <x:c r="C94" s="39" t="s">
        <x:v>114</x:v>
      </x:c>
      <x:c r="D94" s="39"/>
      <x:c r="E94" s="10"/>
    </x:row>
    <x:row r="95" ht="13.5" hidden="1" customHeight="1">
      <x:c r="A95" s="38" t="s">
        <x:v>115</x:v>
      </x:c>
      <x:c r="B95" s="9" t="n">
        <x:f aca="0">'P&amp;L'!Z19-Costs!Z27</x:f>
        <x:v>0</x:v>
      </x:c>
      <x:c r="C95" s="39" t="s">
        <x:v>114</x:v>
      </x:c>
      <x:c r="D95" s="39"/>
      <x:c r="E95" s="10"/>
    </x:row>
    <x:row r="96" ht="13.5" hidden="1" customHeight="1">
      <x:c r="A96" s="38" t="s">
        <x:v>116</x:v>
      </x:c>
      <x:c r="B96" s="9" t="n">
        <x:f aca="0">'P&amp;L'!Z17-Costs!Z24</x:f>
        <x:v>0</x:v>
      </x:c>
      <x:c r="C96" s="39" t="s">
        <x:v>114</x:v>
      </x:c>
      <x:c r="D96" s="39"/>
      <x:c r="E96" s="10"/>
    </x:row>
    <x:row r="97" ht="13.5" hidden="1" customHeight="1">
      <x:c r="A97" s="44"/>
      <x:c r="B97" s="45"/>
      <x:c r="C97" s="46"/>
      <x:c r="D97" s="46"/>
    </x:row>
    <x:row r="98" ht="13.5" hidden="1" customHeight="1">
      <x:c r="A98" s="44"/>
      <x:c r="B98" s="45"/>
      <x:c r="C98" s="46"/>
      <x:c r="D98" s="46"/>
    </x:row>
    <x:row r="99" ht="13.5" hidden="1" customHeight="1">
      <x:c r="A99" s="44"/>
      <x:c r="B99" s="45"/>
      <x:c r="C99" s="46"/>
      <x:c r="D99" s="46"/>
    </x:row>
    <x:row r="100" ht="13.5" hidden="1" customHeight="1">
      <x:c r="A100" s="38" t="s">
        <x:v>117</x:v>
      </x:c>
      <x:c r="B100" s="9" t="n">
        <x:f aca="0">Scenarios!C26-DCF!B22</x:f>
        <x:v>0</x:v>
      </x:c>
      <x:c r="C100" s="39" t="s">
        <x:v>114</x:v>
      </x:c>
      <x:c r="D100" s="39"/>
      <x:c r="E100" s="10"/>
    </x:row>
    <x:row r="101" ht="13.5" hidden="1" customHeight="1">
      <x:c r="A101" s="38" t="s">
        <x:v>118</x:v>
      </x:c>
      <x:c r="B101" s="9" t="n">
        <x:f aca="0">Summary!B23-DCF!B22</x:f>
        <x:v>0</x:v>
      </x:c>
      <x:c r="C101" s="39" t="s">
        <x:v>114</x:v>
      </x:c>
      <x:c r="D101" s="39"/>
      <x:c r="E101" s="10"/>
    </x:row>
    <x:row r="102" ht="13.5" hidden="0" customHeight="1">
      <x:c r="A102" s="47"/>
      <x:c r="B102" s="48"/>
      <x:c r="C102" s="7"/>
      <x:c r="D102" s="7"/>
    </x:row>
  </x:sheetData>
  <x:mergeCells>
    <x:mergeCell ref="A2:C2"/>
  </x:mergeCells>
  <x:pageMargins left="0.7" right="0.7" top="0.75" bottom="0.75" header="0.3" footer="0.3"/>
  <x:drawing xmlns:r="http://schemas.openxmlformats.org/officeDocument/2006/relationships" r:id="Rce2921e96f7e4359"/>
  <x:legacyDrawing xmlns:r="http://schemas.openxmlformats.org/officeDocument/2006/relationships" r:id="Rb5b7ebc490dd41c5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23.66796875" defaultRowHeight="15"/>
  <x:cols>
    <x:col min="1" max="1" width="47.83000183105469" hidden="0" customWidth="1"/>
    <x:col min="2" max="2" width="7.159999847412109" hidden="0" customWidth="1"/>
    <x:col min="3" max="12" width="8" hidden="0" customWidth="1"/>
    <x:col min="13" max="26" width="9.510000228881836" hidden="0" customWidth="1"/>
    <x:col min="27" max="27" width="10.329999923706055" hidden="0" customWidth="1"/>
  </x:cols>
  <x:sheetData>
    <x:row r="1" ht="18.549999237060547" hidden="0">
      <x:c r="A1" s="49" t="s">
        <x:v>119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2"/>
      <x:c r="AC1" s="2"/>
    </x:row>
    <x:row r="2" ht="15" hidden="0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  <x:c r="Z2" s="50"/>
      <x:c r="AA2" s="50"/>
      <x:c r="AB2" s="51"/>
      <x:c r="AC2" s="51"/>
    </x:row>
    <x:row r="3" ht="15" hidden="0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  <x:c r="AA3" s="52"/>
      <x:c r="AB3" s="52"/>
      <x:c r="AC3" s="52"/>
    </x:row>
    <x:row r="4" ht="15" hidden="0">
      <x:c r="A4" s="53" t="s">
        <x:v>84</x:v>
      </x:c>
      <x:c r="B4" s="54" t="s">
        <x:v>120</x:v>
      </x:c>
      <x:c r="C4" s="54" t="s">
        <x:v>121</x:v>
      </x:c>
      <x:c r="D4" s="54" t="s">
        <x:v>122</x:v>
      </x:c>
      <x:c r="E4" s="54" t="s">
        <x:v>123</x:v>
      </x:c>
      <x:c r="F4" s="54" t="s">
        <x:v>124</x:v>
      </x:c>
      <x:c r="G4" s="54" t="s">
        <x:v>125</x:v>
      </x:c>
      <x:c r="H4" s="54" t="s">
        <x:v>126</x:v>
      </x:c>
      <x:c r="I4" s="54" t="s">
        <x:v>127</x:v>
      </x:c>
      <x:c r="J4" s="54" t="s">
        <x:v>128</x:v>
      </x:c>
      <x:c r="K4" s="54" t="s">
        <x:v>129</x:v>
      </x:c>
      <x:c r="L4" s="54" t="s">
        <x:v>130</x:v>
      </x:c>
      <x:c r="M4" s="54" t="s">
        <x:v>131</x:v>
      </x:c>
      <x:c r="N4" s="54" t="s">
        <x:v>132</x:v>
      </x:c>
      <x:c r="O4" s="54" t="s">
        <x:v>133</x:v>
      </x:c>
      <x:c r="P4" s="54" t="s">
        <x:v>134</x:v>
      </x:c>
      <x:c r="Q4" s="54" t="s">
        <x:v>135</x:v>
      </x:c>
      <x:c r="R4" s="54" t="s">
        <x:v>136</x:v>
      </x:c>
      <x:c r="S4" s="54" t="s">
        <x:v>137</x:v>
      </x:c>
      <x:c r="T4" s="54" t="s">
        <x:v>138</x:v>
      </x:c>
      <x:c r="U4" s="54" t="s">
        <x:v>139</x:v>
      </x:c>
      <x:c r="V4" s="54" t="s">
        <x:v>140</x:v>
      </x:c>
      <x:c r="W4" s="54" t="s">
        <x:v>141</x:v>
      </x:c>
      <x:c r="X4" s="54" t="s">
        <x:v>142</x:v>
      </x:c>
      <x:c r="Y4" s="54" t="s">
        <x:v>143</x:v>
      </x:c>
      <x:c r="Z4" s="54" t="s">
        <x:v>144</x:v>
      </x:c>
      <x:c r="AA4" s="54" t="s">
        <x:v>145</x:v>
      </x:c>
      <x:c r="AB4" s="55"/>
      <x:c r="AC4" s="55"/>
    </x:row>
    <x:row r="5" ht="15" hidden="0">
      <x:c r="A5" s="56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  <x:c r="AA5" s="57"/>
      <x:c r="AB5" s="52"/>
      <x:c r="AC5" s="52"/>
    </x:row>
    <x:row r="6" ht="15" hidden="0">
      <x:c r="A6" s="58" t="s">
        <x:v>146</x:v>
      </x:c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8"/>
      <x:c r="AA6" s="58"/>
      <x:c r="AB6" s="59"/>
      <x:c r="AC6" s="59"/>
    </x:row>
    <x:row r="7" ht="15" hidden="0">
      <x:c r="A7" s="56" t="s">
        <x:v>147</x:v>
      </x:c>
      <x:c r="B7" s="60" t="n">
        <x:f aca="0">Assumptions!$B$8</x:f>
        <x:v>10773.0073196418</x:v>
      </x:c>
      <x:c r="C7" s="60" t="n">
        <x:f aca="0">B7*(1+Assumptions!$B$10)</x:f>
        <x:v>11419.387758820309</x:v>
      </x:c>
      <x:c r="D7" s="60" t="n">
        <x:f aca="0">C7*(1+Assumptions!$B$10)</x:f>
        <x:v>12104.551024349528</x:v>
      </x:c>
      <x:c r="E7" s="60" t="n">
        <x:f aca="0">D7*(1+Assumptions!$B$10)</x:f>
        <x:v>12830.8240858105</x:v>
      </x:c>
      <x:c r="F7" s="60" t="n">
        <x:f aca="0">E7*(1+Assumptions!$B$10)</x:f>
        <x:v>13600.673530959131</x:v>
      </x:c>
      <x:c r="G7" s="60" t="n">
        <x:f aca="0">F7*(1+Assumptions!$B$10)</x:f>
        <x:v>14416.71394281668</x:v>
      </x:c>
      <x:c r="H7" s="60" t="n">
        <x:f aca="0">G7*(1+Assumptions!$B$10)</x:f>
        <x:v>15281.71677938568</x:v>
      </x:c>
      <x:c r="I7" s="60" t="n">
        <x:f aca="0">H7*(1+Assumptions!$B$10)</x:f>
        <x:v>16198.619786148822</x:v>
      </x:c>
      <x:c r="J7" s="60" t="n">
        <x:f aca="0">I7*(1+Assumptions!$B$10)</x:f>
        <x:v>17170.53697331775</x:v>
      </x:c>
      <x:c r="K7" s="60" t="n">
        <x:f aca="0">J7*(1+Assumptions!$B$10)</x:f>
        <x:v>18200.769191716816</x:v>
      </x:c>
      <x:c r="L7" s="60" t="n">
        <x:f aca="0">K7*(1+Assumptions!$B$10)</x:f>
        <x:v>19292.815343219827</x:v>
      </x:c>
      <x:c r="M7" s="60" t="n">
        <x:f aca="0">L7*(1+Assumptions!$B$10)</x:f>
        <x:v>20450.38426381302</x:v>
      </x:c>
      <x:c r="N7" s="60" t="n">
        <x:f aca="0">M7*(1+Assumptions!$B$11)</x:f>
        <x:v>20961.64387040834</x:v>
      </x:c>
      <x:c r="O7" s="60" t="n">
        <x:f aca="0">N7*(1+Assumptions!$B$11)</x:f>
        <x:v>21485.68496716855</x:v>
      </x:c>
      <x:c r="P7" s="60" t="n">
        <x:f aca="0">O7*(1+Assumptions!$B$11)</x:f>
        <x:v>22022.82709134776</x:v>
      </x:c>
      <x:c r="Q7" s="60" t="n">
        <x:f aca="0">P7*(1+Assumptions!$B$11)</x:f>
        <x:v>22573.397768631454</x:v>
      </x:c>
      <x:c r="R7" s="60" t="n">
        <x:f aca="0">Q7*(1+Assumptions!$B$11)</x:f>
        <x:v>23137.73271284724</x:v>
      </x:c>
      <x:c r="S7" s="60" t="n">
        <x:f aca="0">R7*(1+Assumptions!$B$11)</x:f>
        <x:v>23716.17603066842</x:v>
      </x:c>
      <x:c r="T7" s="60" t="n">
        <x:f aca="0">S7*(1+Assumptions!$B$11)</x:f>
        <x:v>24309.080431435126</x:v>
      </x:c>
      <x:c r="U7" s="60" t="n">
        <x:f aca="0">T7*(1+Assumptions!$B$11)</x:f>
        <x:v>24916.807442221</x:v>
      </x:c>
      <x:c r="V7" s="60" t="n">
        <x:f aca="0">U7*(1+Assumptions!$B$11)</x:f>
        <x:v>25539.727628276523</x:v>
      </x:c>
      <x:c r="W7" s="60" t="n">
        <x:f aca="0">V7*(1+Assumptions!$B$11)</x:f>
        <x:v>26178.220818983435</x:v>
      </x:c>
      <x:c r="X7" s="60" t="n">
        <x:f aca="0">W7*(1+Assumptions!$B$11)</x:f>
        <x:v>26832.67633945802</x:v>
      </x:c>
      <x:c r="Y7" s="60" t="n">
        <x:f aca="0">X7*(1+Assumptions!$B$11)</x:f>
        <x:v>27503.49324794447</x:v>
      </x:c>
      <x:c r="Z7" s="57" t="n">
        <x:f aca="0">SUM(B7:M7)</x:f>
        <x:v>181739.99999999985</x:v>
      </x:c>
      <x:c r="AA7" s="57" t="n">
        <x:f aca="0">SUM(N7:Y7)</x:f>
        <x:v>289177.4683493904</x:v>
      </x:c>
      <x:c r="AB7" s="52"/>
      <x:c r="AC7" s="52"/>
    </x:row>
    <x:row r="8" ht="15" hidden="0">
      <x:c r="A8" s="56" t="s">
        <x:v>148</x:v>
      </x:c>
      <x:c r="B8" s="60" t="n">
        <x:f aca="0">Assumptions!$B$9</x:f>
        <x:v>2200</x:v>
      </x:c>
      <x:c r="C8" s="60" t="n">
        <x:f aca="0">B8*(1+Assumptions!$B$10)</x:f>
        <x:v>2332</x:v>
      </x:c>
      <x:c r="D8" s="60" t="n">
        <x:f aca="0">C8*(1+Assumptions!$B$10)</x:f>
        <x:v>2471.92</x:v>
      </x:c>
      <x:c r="E8" s="60" t="n">
        <x:f aca="0">D8*(1+Assumptions!$B$10)</x:f>
        <x:v>2620.2352</x:v>
      </x:c>
      <x:c r="F8" s="60" t="n">
        <x:f aca="0">E8*(1+Assumptions!$B$10)</x:f>
        <x:v>2777.449312</x:v>
      </x:c>
      <x:c r="G8" s="60" t="n">
        <x:f aca="0">F8*(1+Assumptions!$B$10)</x:f>
        <x:v>2944.0962707200006</x:v>
      </x:c>
      <x:c r="H8" s="60" t="n">
        <x:f aca="0">G8*(1+Assumptions!$B$10)</x:f>
        <x:v>3120.7420469632007</x:v>
      </x:c>
      <x:c r="I8" s="60" t="n">
        <x:f aca="0">H8*(1+Assumptions!$B$10)</x:f>
        <x:v>3307.986569780993</x:v>
      </x:c>
      <x:c r="J8" s="60" t="n">
        <x:f aca="0">I8*(1+Assumptions!$B$10)</x:f>
        <x:v>3506.4657639678526</x:v>
      </x:c>
      <x:c r="K8" s="60" t="n">
        <x:f aca="0">J8*(1+Assumptions!$B$10)</x:f>
        <x:v>3716.8537098059237</x:v>
      </x:c>
      <x:c r="L8" s="60" t="n">
        <x:f aca="0">K8*(1+Assumptions!$B$10)</x:f>
        <x:v>3939.864932394279</x:v>
      </x:c>
      <x:c r="M8" s="60" t="n">
        <x:f aca="0">L8*(1+Assumptions!$B$10)</x:f>
        <x:v>4176.256828337936</x:v>
      </x:c>
      <x:c r="N8" s="60" t="n">
        <x:f aca="0">M8*(1+Assumptions!$B$11)</x:f>
        <x:v>4280.663249046384</x:v>
      </x:c>
      <x:c r="O8" s="60" t="n">
        <x:f aca="0">N8*(1+Assumptions!$B$11)</x:f>
        <x:v>4387.679830272544</x:v>
      </x:c>
      <x:c r="P8" s="60" t="n">
        <x:f aca="0">O8*(1+Assumptions!$B$11)</x:f>
        <x:v>4497.371826029357</x:v>
      </x:c>
      <x:c r="Q8" s="60" t="n">
        <x:f aca="0">P8*(1+Assumptions!$B$11)</x:f>
        <x:v>4609.806121680091</x:v>
      </x:c>
      <x:c r="R8" s="60" t="n">
        <x:f aca="0">Q8*(1+Assumptions!$B$11)</x:f>
        <x:v>4725.051274722093</x:v>
      </x:c>
      <x:c r="S8" s="60" t="n">
        <x:f aca="0">R8*(1+Assumptions!$B$11)</x:f>
        <x:v>4843.177556590144</x:v>
      </x:c>
      <x:c r="T8" s="60" t="n">
        <x:f aca="0">S8*(1+Assumptions!$B$11)</x:f>
        <x:v>4964.2569955048975</x:v>
      </x:c>
      <x:c r="U8" s="60" t="n">
        <x:f aca="0">T8*(1+Assumptions!$B$11)</x:f>
        <x:v>5088.363420392519</x:v>
      </x:c>
      <x:c r="V8" s="60" t="n">
        <x:f aca="0">U8*(1+Assumptions!$B$11)</x:f>
        <x:v>5215.572505902332</x:v>
      </x:c>
      <x:c r="W8" s="60" t="n">
        <x:f aca="0">V8*(1+Assumptions!$B$11)</x:f>
        <x:v>5345.961818549889</x:v>
      </x:c>
      <x:c r="X8" s="60" t="n">
        <x:f aca="0">W8*(1+Assumptions!$B$11)</x:f>
        <x:v>5479.610864013636</x:v>
      </x:c>
      <x:c r="Y8" s="60" t="n">
        <x:f aca="0">X8*(1+Assumptions!$B$11)</x:f>
        <x:v>5616.601135613977</x:v>
      </x:c>
      <x:c r="Z8" s="57" t="n">
        <x:f aca="0">SUM(B8:M8)</x:f>
        <x:v>37113.87063397019</x:v>
      </x:c>
      <x:c r="AA8" s="57" t="n">
        <x:f aca="0">SUM(N8:Y8)</x:f>
        <x:v>59054.11659831787</x:v>
      </x:c>
      <x:c r="AB8" s="52"/>
      <x:c r="AC8" s="52"/>
    </x:row>
    <x:row r="9" ht="15" hidden="0">
      <x:c r="A9" s="61" t="s">
        <x:v>149</x:v>
      </x:c>
      <x:c r="B9" s="62" t="n">
        <x:f aca="0">SUM(B7:B8)</x:f>
        <x:v>12973.0073196418</x:v>
      </x:c>
      <x:c r="C9" s="62" t="n">
        <x:f aca="0">SUM(C7:C8)</x:f>
        <x:v>13751.387758820309</x:v>
      </x:c>
      <x:c r="D9" s="62" t="n">
        <x:f aca="0">SUM(D7:D8)</x:f>
        <x:v>14576.471024349528</x:v>
      </x:c>
      <x:c r="E9" s="62" t="n">
        <x:f aca="0">SUM(E7:E8)</x:f>
        <x:v>15451.059285810501</x:v>
      </x:c>
      <x:c r="F9" s="62" t="n">
        <x:f aca="0">SUM(F7:F8)</x:f>
        <x:v>16378.122842959132</x:v>
      </x:c>
      <x:c r="G9" s="62" t="n">
        <x:f aca="0">SUM(G7:G8)</x:f>
        <x:v>17360.81021353668</x:v>
      </x:c>
      <x:c r="H9" s="62" t="n">
        <x:f aca="0">SUM(H7:H8)</x:f>
        <x:v>18402.45882634888</x:v>
      </x:c>
      <x:c r="I9" s="62" t="n">
        <x:f aca="0">SUM(I7:I8)</x:f>
        <x:v>19506.606355929813</x:v>
      </x:c>
      <x:c r="J9" s="62" t="n">
        <x:f aca="0">SUM(J7:J8)</x:f>
        <x:v>20677.002737285602</x:v>
      </x:c>
      <x:c r="K9" s="62" t="n">
        <x:f aca="0">SUM(K7:K8)</x:f>
        <x:v>21917.62290152274</x:v>
      </x:c>
      <x:c r="L9" s="62" t="n">
        <x:f aca="0">SUM(L7:L8)</x:f>
        <x:v>23232.680275614104</x:v>
      </x:c>
      <x:c r="M9" s="62" t="n">
        <x:f aca="0">SUM(M7:M8)</x:f>
        <x:v>24626.641092150956</x:v>
      </x:c>
      <x:c r="N9" s="62" t="n">
        <x:f aca="0">SUM(N7:N8)</x:f>
        <x:v>25242.307119454726</x:v>
      </x:c>
      <x:c r="O9" s="62" t="n">
        <x:f aca="0">SUM(O7:O8)</x:f>
        <x:v>25873.364797441092</x:v>
      </x:c>
      <x:c r="P9" s="62" t="n">
        <x:f aca="0">SUM(P7:P8)</x:f>
        <x:v>26520.198917377118</x:v>
      </x:c>
      <x:c r="Q9" s="62" t="n">
        <x:f aca="0">SUM(Q7:Q8)</x:f>
        <x:v>27183.203890311546</x:v>
      </x:c>
      <x:c r="R9" s="62" t="n">
        <x:f aca="0">SUM(R7:R8)</x:f>
        <x:v>27862.78398756933</x:v>
      </x:c>
      <x:c r="S9" s="62" t="n">
        <x:f aca="0">SUM(S7:S8)</x:f>
        <x:v>28559.353587258563</x:v>
      </x:c>
      <x:c r="T9" s="62" t="n">
        <x:f aca="0">SUM(T7:T8)</x:f>
        <x:v>29273.337426940023</x:v>
      </x:c>
      <x:c r="U9" s="62" t="n">
        <x:f aca="0">SUM(U7:U8)</x:f>
        <x:v>30005.170862613522</x:v>
      </x:c>
      <x:c r="V9" s="62" t="n">
        <x:f aca="0">SUM(V7:V8)</x:f>
        <x:v>30755.300134178855</x:v>
      </x:c>
      <x:c r="W9" s="62" t="n">
        <x:f aca="0">SUM(W7:W8)</x:f>
        <x:v>31524.182637533326</x:v>
      </x:c>
      <x:c r="X9" s="62" t="n">
        <x:f aca="0">SUM(X7:X8)</x:f>
        <x:v>32312.287203471657</x:v>
      </x:c>
      <x:c r="Y9" s="62" t="n">
        <x:f aca="0">SUM(Y7:Y8)</x:f>
        <x:v>33120.09438355845</x:v>
      </x:c>
      <x:c r="Z9" s="62" t="n">
        <x:f aca="0">SUM(B9:M9)</x:f>
        <x:v>218853.87063397004</x:v>
      </x:c>
      <x:c r="AA9" s="62" t="n">
        <x:f aca="0">SUM(N9:Y9)</x:f>
        <x:v>348231.5849477082</x:v>
      </x:c>
      <x:c r="AB9" s="52"/>
      <x:c r="AC9" s="52"/>
    </x:row>
    <x:row r="10" ht="15" hidden="0">
      <x:c r="A10" s="56" t="s">
        <x:v>150</x:v>
      </x:c>
      <x:c r="B10" s="57" t="n">
        <x:f aca="0">B7</x:f>
        <x:v>10773.0073196418</x:v>
      </x:c>
      <x:c r="C10" s="57" t="n">
        <x:f aca="0">B10+C7</x:f>
        <x:v>22192.39507846211</x:v>
      </x:c>
      <x:c r="D10" s="57" t="n">
        <x:f aca="0">C10+D7</x:f>
        <x:v>34296.946102811635</x:v>
      </x:c>
      <x:c r="E10" s="57" t="n">
        <x:f aca="0">D10+E7</x:f>
        <x:v>47127.77018862213</x:v>
      </x:c>
      <x:c r="F10" s="57" t="n">
        <x:f aca="0">E10+F7</x:f>
        <x:v>60728.443719581264</x:v>
      </x:c>
      <x:c r="G10" s="57" t="n">
        <x:f aca="0">F10+G7</x:f>
        <x:v>75145.15766239795</x:v>
      </x:c>
      <x:c r="H10" s="57" t="n">
        <x:f aca="0">G10+H7</x:f>
        <x:v>90426.87444178363</x:v>
      </x:c>
      <x:c r="I10" s="57" t="n">
        <x:f aca="0">H10+I7</x:f>
        <x:v>106625.49422793245</x:v>
      </x:c>
      <x:c r="J10" s="57" t="n">
        <x:f aca="0">I10+J7</x:f>
        <x:v>123796.0312012502</x:v>
      </x:c>
      <x:c r="K10" s="57" t="n">
        <x:f aca="0">J10+K7</x:f>
        <x:v>141996.800392967</x:v>
      </x:c>
      <x:c r="L10" s="57" t="n">
        <x:f aca="0">K10+L7</x:f>
        <x:v>161289.61573618682</x:v>
      </x:c>
      <x:c r="M10" s="57" t="n">
        <x:f aca="0">L10+M7</x:f>
        <x:v>181739.99999999985</x:v>
      </x:c>
      <x:c r="N10" s="57" t="n">
        <x:f aca="0">M10+N7</x:f>
        <x:v>202701.64387040818</x:v>
      </x:c>
      <x:c r="O10" s="57" t="n">
        <x:f aca="0">N10+O7</x:f>
        <x:v>224187.32883757673</x:v>
      </x:c>
      <x:c r="P10" s="57" t="n">
        <x:f aca="0">O10+P7</x:f>
        <x:v>246210.1559289245</x:v>
      </x:c>
      <x:c r="Q10" s="57" t="n">
        <x:f aca="0">P10+Q7</x:f>
        <x:v>268783.55369755597</x:v>
      </x:c>
      <x:c r="R10" s="57" t="n">
        <x:f aca="0">Q10+R7</x:f>
        <x:v>291921.2864104032</x:v>
      </x:c>
      <x:c r="S10" s="57" t="n">
        <x:f aca="0">R10+S7</x:f>
        <x:v>315637.46244107164</x:v>
      </x:c>
      <x:c r="T10" s="57" t="n">
        <x:f aca="0">S10+T7</x:f>
        <x:v>339946.5428725068</x:v>
      </x:c>
      <x:c r="U10" s="57" t="n">
        <x:f aca="0">T10+U7</x:f>
        <x:v>364863.35031472775</x:v>
      </x:c>
      <x:c r="V10" s="57" t="n">
        <x:f aca="0">U10+V7</x:f>
        <x:v>390403.07794300426</x:v>
      </x:c>
      <x:c r="W10" s="57" t="n">
        <x:f aca="0">V10+W7</x:f>
        <x:v>416581.2987619877</x:v>
      </x:c>
      <x:c r="X10" s="57" t="n">
        <x:f aca="0">W10+X7</x:f>
        <x:v>443413.97510144574</x:v>
      </x:c>
      <x:c r="Y10" s="57" t="n">
        <x:f aca="0">X10+Y7</x:f>
        <x:v>470917.4683493902</x:v>
      </x:c>
      <x:c r="Z10" s="57" t="n">
        <x:f aca="0">M10</x:f>
        <x:v>181739.99999999985</x:v>
      </x:c>
      <x:c r="AA10" s="57" t="n">
        <x:f aca="0">Y10</x:f>
        <x:v>470917.4683493902</x:v>
      </x:c>
      <x:c r="AB10" s="52"/>
      <x:c r="AC10" s="52"/>
    </x:row>
    <x:row r="11" ht="15" hidden="0">
      <x:c r="A11" s="56" t="s">
        <x:v>151</x:v>
      </x:c>
      <x:c r="B11" s="57" t="n">
        <x:f aca="0">B8</x:f>
        <x:v>2200</x:v>
      </x:c>
      <x:c r="C11" s="57" t="n">
        <x:f aca="0">B11+C8</x:f>
        <x:v>4532</x:v>
      </x:c>
      <x:c r="D11" s="57" t="n">
        <x:f aca="0">C11+D8</x:f>
        <x:v>7003.92</x:v>
      </x:c>
      <x:c r="E11" s="57" t="n">
        <x:f aca="0">D11+E8</x:f>
        <x:v>9624.155200000001</x:v>
      </x:c>
      <x:c r="F11" s="57" t="n">
        <x:f aca="0">E11+F8</x:f>
        <x:v>12401.604512000002</x:v>
      </x:c>
      <x:c r="G11" s="57" t="n">
        <x:f aca="0">F11+G8</x:f>
        <x:v>15345.700782720003</x:v>
      </x:c>
      <x:c r="H11" s="57" t="n">
        <x:f aca="0">G11+H8</x:f>
        <x:v>18466.442829683205</x:v>
      </x:c>
      <x:c r="I11" s="57" t="n">
        <x:f aca="0">H11+I8</x:f>
        <x:v>21774.4293994642</x:v>
      </x:c>
      <x:c r="J11" s="57" t="n">
        <x:f aca="0">I11+J8</x:f>
        <x:v>25280.89516343205</x:v>
      </x:c>
      <x:c r="K11" s="57" t="n">
        <x:f aca="0">J11+K8</x:f>
        <x:v>28997.748873237975</x:v>
      </x:c>
      <x:c r="L11" s="57" t="n">
        <x:f aca="0">K11+L8</x:f>
        <x:v>32937.61380563225</x:v>
      </x:c>
      <x:c r="M11" s="57" t="n">
        <x:f aca="0">L11+M8</x:f>
        <x:v>37113.87063397019</x:v>
      </x:c>
      <x:c r="N11" s="57" t="n">
        <x:f aca="0">M11+N8</x:f>
        <x:v>41394.53388301657</x:v>
      </x:c>
      <x:c r="O11" s="57" t="n">
        <x:f aca="0">N11+O8</x:f>
        <x:v>45782.213713289115</x:v>
      </x:c>
      <x:c r="P11" s="57" t="n">
        <x:f aca="0">O11+P8</x:f>
        <x:v>50279.585539318476</x:v>
      </x:c>
      <x:c r="Q11" s="57" t="n">
        <x:f aca="0">P11+Q8</x:f>
        <x:v>54889.39166099857</x:v>
      </x:c>
      <x:c r="R11" s="57" t="n">
        <x:f aca="0">Q11+R8</x:f>
        <x:v>59614.44293572066</x:v>
      </x:c>
      <x:c r="S11" s="57" t="n">
        <x:f aca="0">R11+S8</x:f>
        <x:v>64457.6204923108</x:v>
      </x:c>
      <x:c r="T11" s="57" t="n">
        <x:f aca="0">S11+T8</x:f>
        <x:v>69421.8774878157</x:v>
      </x:c>
      <x:c r="U11" s="57" t="n">
        <x:f aca="0">T11+U8</x:f>
        <x:v>74510.24090820822</x:v>
      </x:c>
      <x:c r="V11" s="57" t="n">
        <x:f aca="0">U11+V8</x:f>
        <x:v>79725.81341411054</x:v>
      </x:c>
      <x:c r="W11" s="57" t="n">
        <x:f aca="0">V11+W8</x:f>
        <x:v>85071.77523266042</x:v>
      </x:c>
      <x:c r="X11" s="57" t="n">
        <x:f aca="0">W11+X8</x:f>
        <x:v>90551.38609667406</x:v>
      </x:c>
      <x:c r="Y11" s="57" t="n">
        <x:f aca="0">X11+Y8</x:f>
        <x:v>96167.98723228804</x:v>
      </x:c>
      <x:c r="Z11" s="57" t="n">
        <x:f aca="0">M11</x:f>
        <x:v>37113.87063397019</x:v>
      </x:c>
      <x:c r="AA11" s="57" t="n">
        <x:f aca="0">Y11</x:f>
        <x:v>96167.98723228804</x:v>
      </x:c>
      <x:c r="AB11" s="52"/>
      <x:c r="AC11" s="52"/>
    </x:row>
    <x:row r="12" ht="15" hidden="0">
      <x:c r="A12" s="56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  <x:c r="AA12" s="57"/>
      <x:c r="AB12" s="52"/>
      <x:c r="AC12" s="52"/>
    </x:row>
    <x:row r="13" ht="15" hidden="0">
      <x:c r="A13" s="58" t="s">
        <x:v>152</x:v>
      </x:c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  <x:c r="O13" s="58"/>
      <x:c r="P13" s="58"/>
      <x:c r="Q13" s="58"/>
      <x:c r="R13" s="58"/>
      <x:c r="S13" s="58"/>
      <x:c r="T13" s="58"/>
      <x:c r="U13" s="58"/>
      <x:c r="V13" s="58"/>
      <x:c r="W13" s="58"/>
      <x:c r="X13" s="58"/>
      <x:c r="Y13" s="58"/>
      <x:c r="Z13" s="58"/>
      <x:c r="AA13" s="58"/>
      <x:c r="AB13" s="59"/>
      <x:c r="AC13" s="59"/>
    </x:row>
    <x:row r="14" ht="15" hidden="0">
      <x:c r="A14" s="56" t="s">
        <x:v>153</x:v>
      </x:c>
      <x:c r="B14" s="60" t="n">
        <x:f aca="0">B7*Assumptions!$B$12</x:f>
        <x:v>8618.40585571344</x:v>
      </x:c>
      <x:c r="C14" s="60" t="n">
        <x:f aca="0">C7*Assumptions!$B$12</x:f>
        <x:v>9135.510207056248</x:v>
      </x:c>
      <x:c r="D14" s="60" t="n">
        <x:f aca="0">D7*Assumptions!$B$12</x:f>
        <x:v>9683.640819479622</x:v>
      </x:c>
      <x:c r="E14" s="60" t="n">
        <x:f aca="0">E7*Assumptions!$B$12</x:f>
        <x:v>10264.6592686484</x:v>
      </x:c>
      <x:c r="F14" s="60" t="n">
        <x:f aca="0">F7*Assumptions!$B$12</x:f>
        <x:v>10880.538824767305</x:v>
      </x:c>
      <x:c r="G14" s="60" t="n">
        <x:f aca="0">G7*Assumptions!$B$12</x:f>
        <x:v>11533.371154253344</x:v>
      </x:c>
      <x:c r="H14" s="60" t="n">
        <x:f aca="0">H7*Assumptions!$B$12</x:f>
        <x:v>12225.373423508545</x:v>
      </x:c>
      <x:c r="I14" s="60" t="n">
        <x:f aca="0">I7*Assumptions!$B$12</x:f>
        <x:v>12958.895828919058</x:v>
      </x:c>
      <x:c r="J14" s="60" t="n">
        <x:f aca="0">J7*Assumptions!$B$12</x:f>
        <x:v>13736.4295786542</x:v>
      </x:c>
      <x:c r="K14" s="60" t="n">
        <x:f aca="0">K7*Assumptions!$B$12</x:f>
        <x:v>14560.615353373454</x:v>
      </x:c>
      <x:c r="L14" s="60" t="n">
        <x:f aca="0">L7*Assumptions!$B$12</x:f>
        <x:v>15434.252274575862</x:v>
      </x:c>
      <x:c r="M14" s="60" t="n">
        <x:f aca="0">M7*Assumptions!$B$12</x:f>
        <x:v>16360.307411050417</x:v>
      </x:c>
      <x:c r="N14" s="60" t="n">
        <x:f aca="0">N7*Assumptions!$B$12</x:f>
        <x:v>16769.315096326674</x:v>
      </x:c>
      <x:c r="O14" s="60" t="n">
        <x:f aca="0">O7*Assumptions!$B$12</x:f>
        <x:v>17188.54797373484</x:v>
      </x:c>
      <x:c r="P14" s="60" t="n">
        <x:f aca="0">P7*Assumptions!$B$12</x:f>
        <x:v>17618.26167307821</x:v>
      </x:c>
      <x:c r="Q14" s="60" t="n">
        <x:f aca="0">Q7*Assumptions!$B$12</x:f>
        <x:v>18058.718214905162</x:v>
      </x:c>
      <x:c r="R14" s="60" t="n">
        <x:f aca="0">R7*Assumptions!$B$12</x:f>
        <x:v>18510.186170277793</x:v>
      </x:c>
      <x:c r="S14" s="60" t="n">
        <x:f aca="0">S7*Assumptions!$B$12</x:f>
        <x:v>18972.940824534737</x:v>
      </x:c>
      <x:c r="T14" s="60" t="n">
        <x:f aca="0">T7*Assumptions!$B$12</x:f>
        <x:v>19447.2643451481</x:v>
      </x:c>
      <x:c r="U14" s="60" t="n">
        <x:f aca="0">U7*Assumptions!$B$12</x:f>
        <x:v>19933.4459537768</x:v>
      </x:c>
      <x:c r="V14" s="60" t="n">
        <x:f aca="0">V7*Assumptions!$B$12</x:f>
        <x:v>20431.78210262122</x:v>
      </x:c>
      <x:c r="W14" s="60" t="n">
        <x:f aca="0">W7*Assumptions!$B$12</x:f>
        <x:v>20942.57665518675</x:v>
      </x:c>
      <x:c r="X14" s="60" t="n">
        <x:f aca="0">X7*Assumptions!$B$12</x:f>
        <x:v>21466.141071566417</x:v>
      </x:c>
      <x:c r="Y14" s="60" t="n">
        <x:f aca="0">Y7*Assumptions!$B$12</x:f>
        <x:v>22002.794598355576</x:v>
      </x:c>
      <x:c r="Z14" s="57" t="n">
        <x:f aca="0">SUM(B14:M14)</x:f>
        <x:v>145391.99999999988</x:v>
      </x:c>
      <x:c r="AA14" s="57" t="n">
        <x:f aca="0">SUM(N14:Y14)</x:f>
        <x:v>231341.97467951226</x:v>
      </x:c>
      <x:c r="AB14" s="52"/>
      <x:c r="AC14" s="52"/>
    </x:row>
    <x:row r="15" ht="15" hidden="0">
      <x:c r="A15" s="56" t="s">
        <x:v>154</x:v>
      </x:c>
      <x:c r="B15" s="60" t="n">
        <x:f aca="0">B8*Assumptions!$B$13</x:f>
        <x:v>1430</x:v>
      </x:c>
      <x:c r="C15" s="60" t="n">
        <x:f aca="0">C8*Assumptions!$B$13</x:f>
        <x:v>1515.8</x:v>
      </x:c>
      <x:c r="D15" s="60" t="n">
        <x:f aca="0">D8*Assumptions!$B$13</x:f>
        <x:v>1606.748</x:v>
      </x:c>
      <x:c r="E15" s="60" t="n">
        <x:f aca="0">E8*Assumptions!$B$13</x:f>
        <x:v>1703.15288</x:v>
      </x:c>
      <x:c r="F15" s="60" t="n">
        <x:f aca="0">F8*Assumptions!$B$13</x:f>
        <x:v>1805.3420528000001</x:v>
      </x:c>
      <x:c r="G15" s="60" t="n">
        <x:f aca="0">G8*Assumptions!$B$13</x:f>
        <x:v>1913.6625759680005</x:v>
      </x:c>
      <x:c r="H15" s="60" t="n">
        <x:f aca="0">H8*Assumptions!$B$13</x:f>
        <x:v>2028.4823305260804</x:v>
      </x:c>
      <x:c r="I15" s="60" t="n">
        <x:f aca="0">I8*Assumptions!$B$13</x:f>
        <x:v>2150.1912703576454</x:v>
      </x:c>
      <x:c r="J15" s="60" t="n">
        <x:f aca="0">J8*Assumptions!$B$13</x:f>
        <x:v>2279.2027465791043</x:v>
      </x:c>
      <x:c r="K15" s="60" t="n">
        <x:f aca="0">K8*Assumptions!$B$13</x:f>
        <x:v>2415.9549113738503</x:v>
      </x:c>
      <x:c r="L15" s="60" t="n">
        <x:f aca="0">L8*Assumptions!$B$13</x:f>
        <x:v>2560.9122060562813</x:v>
      </x:c>
      <x:c r="M15" s="60" t="n">
        <x:f aca="0">M8*Assumptions!$B$13</x:f>
        <x:v>2714.5669384196585</x:v>
      </x:c>
      <x:c r="N15" s="60" t="n">
        <x:f aca="0">N8*Assumptions!$B$13</x:f>
        <x:v>2782.43111188015</x:v>
      </x:c>
      <x:c r="O15" s="60" t="n">
        <x:f aca="0">O8*Assumptions!$B$13</x:f>
        <x:v>2851.9918896771537</x:v>
      </x:c>
      <x:c r="P15" s="60" t="n">
        <x:f aca="0">P8*Assumptions!$B$13</x:f>
        <x:v>2923.291686919082</x:v>
      </x:c>
      <x:c r="Q15" s="60" t="n">
        <x:f aca="0">Q8*Assumptions!$B$13</x:f>
        <x:v>2996.373979092059</x:v>
      </x:c>
      <x:c r="R15" s="60" t="n">
        <x:f aca="0">R8*Assumptions!$B$13</x:f>
        <x:v>3071.2833285693605</x:v>
      </x:c>
      <x:c r="S15" s="60" t="n">
        <x:f aca="0">S8*Assumptions!$B$13</x:f>
        <x:v>3148.065411783594</x:v>
      </x:c>
      <x:c r="T15" s="60" t="n">
        <x:f aca="0">T8*Assumptions!$B$13</x:f>
        <x:v>3226.7670470781836</x:v>
      </x:c>
      <x:c r="U15" s="60" t="n">
        <x:f aca="0">U8*Assumptions!$B$13</x:f>
        <x:v>3307.4362232551375</x:v>
      </x:c>
      <x:c r="V15" s="60" t="n">
        <x:f aca="0">V8*Assumptions!$B$13</x:f>
        <x:v>3390.1221288365155</x:v>
      </x:c>
      <x:c r="W15" s="60" t="n">
        <x:f aca="0">W8*Assumptions!$B$13</x:f>
        <x:v>3474.875182057428</x:v>
      </x:c>
      <x:c r="X15" s="60" t="n">
        <x:f aca="0">X8*Assumptions!$B$13</x:f>
        <x:v>3561.7470616088635</x:v>
      </x:c>
      <x:c r="Y15" s="60" t="n">
        <x:f aca="0">Y8*Assumptions!$B$13</x:f>
        <x:v>3650.790738149085</x:v>
      </x:c>
      <x:c r="Z15" s="57" t="n">
        <x:f aca="0">SUM(B15:M15)</x:f>
        <x:v>24124.01591208062</x:v>
      </x:c>
      <x:c r="AA15" s="57" t="n">
        <x:f aca="0">SUM(N15:Y15)</x:f>
        <x:v>38385.175788906614</x:v>
      </x:c>
      <x:c r="AB15" s="52"/>
      <x:c r="AC15" s="52"/>
    </x:row>
    <x:row r="16" ht="15" hidden="0">
      <x:c r="A16" s="56" t="s">
        <x:v>155</x:v>
      </x:c>
      <x:c r="B16" s="57" t="n">
        <x:f aca="0">B14</x:f>
        <x:v>8618.40585571344</x:v>
      </x:c>
      <x:c r="C16" s="57" t="n">
        <x:f aca="0">B16*(1-Assumptions!$B$14)+C14</x:f>
        <x:v>17064.443594312612</x:v>
      </x:c>
      <x:c r="D16" s="57" t="n">
        <x:f aca="0">C16*(1-Assumptions!$B$14)+D14</x:f>
        <x:v>25382.928926247227</x:v>
      </x:c>
      <x:c r="E16" s="57" t="n">
        <x:f aca="0">D16*(1-Assumptions!$B$14)+E14</x:f>
        <x:v>33616.953880795845</x:v>
      </x:c>
      <x:c r="F16" s="57" t="n">
        <x:f aca="0">E16*(1-Assumptions!$B$14)+F14</x:f>
        <x:v>41808.136395099486</x:v>
      </x:c>
      <x:c r="G16" s="57" t="n">
        <x:f aca="0">F16*(1-Assumptions!$B$14)+G14</x:f>
        <x:v>49996.85663774487</x:v>
      </x:c>
      <x:c r="H16" s="57" t="n">
        <x:f aca="0">G16*(1-Assumptions!$B$14)+H14</x:f>
        <x:v>58222.48153023383</x:v>
      </x:c>
      <x:c r="I16" s="57" t="n">
        <x:f aca="0">H16*(1-Assumptions!$B$14)+I14</x:f>
        <x:v>66523.57883673419</x:v>
      </x:c>
      <x:c r="J16" s="57" t="n">
        <x:f aca="0">I16*(1-Assumptions!$B$14)+J14</x:f>
        <x:v>74938.12210844966</x:v>
      </x:c>
      <x:c r="K16" s="57" t="n">
        <x:f aca="0">J16*(1-Assumptions!$B$14)+K14</x:f>
        <x:v>83503.68769314713</x:v>
      </x:c>
      <x:c r="L16" s="57" t="n">
        <x:f aca="0">K16*(1-Assumptions!$B$14)+L14</x:f>
        <x:v>92257.64495227124</x:v>
      </x:c>
      <x:c r="M16" s="57" t="n">
        <x:f aca="0">L16*(1-Assumptions!$B$14)+M14</x:f>
        <x:v>101237.34076713995</x:v>
      </x:c>
      <x:c r="N16" s="57" t="n">
        <x:f aca="0">M16*(1-Assumptions!$B$14)+N14</x:f>
        <x:v>109907.66860209542</x:v>
      </x:c>
      <x:c r="O16" s="57" t="n">
        <x:f aca="0">N16*(1-Assumptions!$B$14)+O14</x:f>
        <x:v>118303.60308766263</x:v>
      </x:c>
      <x:c r="P16" s="57" t="n">
        <x:f aca="0">O16*(1-Assumptions!$B$14)+P14</x:f>
        <x:v>126457.57651372784</x:v>
      </x:c>
      <x:c r="Q16" s="57" t="n">
        <x:f aca="0">P16*(1-Assumptions!$B$14)+Q14</x:f>
        <x:v>134399.68860753477</x:v>
      </x:c>
      <x:c r="R16" s="57" t="n">
        <x:f aca="0">Q16*(1-Assumptions!$B$14)+R14</x:f>
        <x:v>142157.8996892098</x:v>
      </x:c>
      <x:c r="S16" s="57" t="n">
        <x:f aca="0">R16*(1-Assumptions!$B$14)+S14</x:f>
        <x:v>149758.20853860775</x:v>
      </x:c>
      <x:c r="T16" s="57" t="n">
        <x:f aca="0">S16*(1-Assumptions!$B$14)+T14</x:f>
        <x:v>157224.81620066726</x:v>
      </x:c>
      <x:c r="U16" s="57" t="n">
        <x:f aca="0">T16*(1-Assumptions!$B$14)+U14</x:f>
        <x:v>164580.2768583907</x:v>
      </x:c>
      <x:c r="V16" s="57" t="n">
        <x:f aca="0">U16*(1-Assumptions!$B$14)+V14</x:f>
        <x:v>171845.63681234067</x:v>
      </x:c>
      <x:c r="W16" s="57" t="n">
        <x:f aca="0">V16*(1-Assumptions!$B$14)+W14</x:f>
        <x:v>179040.56252254016</x:v>
      </x:c>
      <x:c r="X16" s="57" t="n">
        <x:f aca="0">W16*(1-Assumptions!$B$14)+X14</x:f>
        <x:v>186183.45859230336</x:v>
      </x:c>
      <x:c r="Y16" s="57" t="n">
        <x:f aca="0">X16*(1-Assumptions!$B$14)+Y14</x:f>
        <x:v>193291.57650327467</x:v>
      </x:c>
      <x:c r="Z16" s="57" t="n">
        <x:f aca="0">M16</x:f>
        <x:v>101237.34076713995</x:v>
      </x:c>
      <x:c r="AA16" s="57" t="n">
        <x:f aca="0">Y16</x:f>
        <x:v>193291.57650327467</x:v>
      </x:c>
      <x:c r="AB16" s="52"/>
      <x:c r="AC16" s="52"/>
    </x:row>
    <x:row r="17" ht="15" hidden="0">
      <x:c r="A17" s="56" t="s">
        <x:v>156</x:v>
      </x:c>
      <x:c r="B17" s="57" t="n">
        <x:f aca="0">B15</x:f>
        <x:v>1430</x:v>
      </x:c>
      <x:c r="C17" s="57" t="n">
        <x:f aca="0">B17*(1-Assumptions!$B$15)+C15</x:f>
        <x:v>2874.3</x:v>
      </x:c>
      <x:c r="D17" s="57" t="n">
        <x:f aca="0">C17*(1-Assumptions!$B$15)+D15</x:f>
        <x:v>4337.3330000000005</x:v>
      </x:c>
      <x:c r="E17" s="57" t="n">
        <x:f aca="0">D17*(1-Assumptions!$B$15)+E15</x:f>
        <x:v>5823.61923</x:v>
      </x:c>
      <x:c r="F17" s="57" t="n">
        <x:f aca="0">E17*(1-Assumptions!$B$15)+F15</x:f>
        <x:v>7337.780321300001</x:v>
      </x:c>
      <x:c r="G17" s="57" t="n">
        <x:f aca="0">F17*(1-Assumptions!$B$15)+G15</x:f>
        <x:v>8884.553881203</x:v>
      </x:c>
      <x:c r="H17" s="57" t="n">
        <x:f aca="0">G17*(1-Assumptions!$B$15)+H15</x:f>
        <x:v>10468.808517668931</x:v>
      </x:c>
      <x:c r="I17" s="57" t="n">
        <x:f aca="0">H17*(1-Assumptions!$B$15)+I15</x:f>
        <x:v>12095.559362143129</x:v>
      </x:c>
      <x:c r="J17" s="57" t="n">
        <x:f aca="0">I17*(1-Assumptions!$B$15)+J15</x:f>
        <x:v>13769.984140615077</x:v>
      </x:c>
      <x:c r="K17" s="57" t="n">
        <x:f aca="0">J17*(1-Assumptions!$B$15)+K15</x:f>
        <x:v>15497.439844958173</x:v>
      </x:c>
      <x:c r="L17" s="57" t="n">
        <x:f aca="0">K17*(1-Assumptions!$B$15)+L15</x:f>
        <x:v>17283.480058766545</x:v>
      </x:c>
      <x:c r="M17" s="57" t="n">
        <x:f aca="0">L17*(1-Assumptions!$B$15)+M15</x:f>
        <x:v>19133.872994247875</x:v>
      </x:c>
      <x:c r="N17" s="57" t="n">
        <x:f aca="0">M17*(1-Assumptions!$B$15)+N15</x:f>
        <x:v>20959.61045641563</x:v>
      </x:c>
      <x:c r="O17" s="57" t="n">
        <x:f aca="0">N17*(1-Assumptions!$B$15)+O15</x:f>
        <x:v>22763.621823272</x:v>
      </x:c>
      <x:c r="P17" s="57" t="n">
        <x:f aca="0">O17*(1-Assumptions!$B$15)+P15</x:f>
        <x:v>24548.732419027478</x:v>
      </x:c>
      <x:c r="Q17" s="57" t="n">
        <x:f aca="0">P17*(1-Assumptions!$B$15)+Q15</x:f>
        <x:v>26317.66977716816</x:v>
      </x:c>
      <x:c r="R17" s="57" t="n">
        <x:f aca="0">Q17*(1-Assumptions!$B$15)+R15</x:f>
        <x:v>28073.06961687911</x:v>
      </x:c>
      <x:c r="S17" s="57" t="n">
        <x:f aca="0">R17*(1-Assumptions!$B$15)+S15</x:f>
        <x:v>29817.48154781875</x:v>
      </x:c>
      <x:c r="T17" s="57" t="n">
        <x:f aca="0">S17*(1-Assumptions!$B$15)+T15</x:f>
        <x:v>31553.374517505996</x:v>
      </x:c>
      <x:c r="U17" s="57" t="n">
        <x:f aca="0">T17*(1-Assumptions!$B$15)+U15</x:f>
        <x:v>33283.14201488583</x:v>
      </x:c>
      <x:c r="V17" s="57" t="n">
        <x:f aca="0">U17*(1-Assumptions!$B$15)+V15</x:f>
        <x:v>35009.10704297805</x:v>
      </x:c>
      <x:c r="W17" s="57" t="n">
        <x:f aca="0">V17*(1-Assumptions!$B$15)+W15</x:f>
        <x:v>36733.52687288657</x:v>
      </x:c>
      <x:c r="X17" s="57" t="n">
        <x:f aca="0">W17*(1-Assumptions!$B$15)+X15</x:f>
        <x:v>38458.5975908511</x:v>
      </x:c>
      <x:c r="Y17" s="57" t="n">
        <x:f aca="0">X17*(1-Assumptions!$B$15)+Y15</x:f>
        <x:v>40186.458449457634</x:v>
      </x:c>
      <x:c r="Z17" s="57" t="n">
        <x:f aca="0">M17</x:f>
        <x:v>19133.872994247875</x:v>
      </x:c>
      <x:c r="AA17" s="57" t="n">
        <x:f aca="0">Y17</x:f>
        <x:v>40186.458449457634</x:v>
      </x:c>
      <x:c r="AB17" s="52"/>
      <x:c r="AC17" s="52"/>
    </x:row>
    <x:row r="18" ht="15" hidden="0">
      <x:c r="A18" s="61" t="s">
        <x:v>157</x:v>
      </x:c>
      <x:c r="B18" s="62" t="n">
        <x:f aca="0">SUM(B16:B17)</x:f>
        <x:v>10048.40585571344</x:v>
      </x:c>
      <x:c r="C18" s="62" t="n">
        <x:f aca="0">SUM(C16:C17)</x:f>
        <x:v>19938.74359431261</x:v>
      </x:c>
      <x:c r="D18" s="62" t="n">
        <x:f aca="0">SUM(D16:D17)</x:f>
        <x:v>29720.26192624723</x:v>
      </x:c>
      <x:c r="E18" s="62" t="n">
        <x:f aca="0">SUM(E16:E17)</x:f>
        <x:v>39440.57311079584</x:v>
      </x:c>
      <x:c r="F18" s="62" t="n">
        <x:f aca="0">SUM(F16:F17)</x:f>
        <x:v>49145.916716399486</x:v>
      </x:c>
      <x:c r="G18" s="62" t="n">
        <x:f aca="0">SUM(G16:G17)</x:f>
        <x:v>58881.41051894787</x:v>
      </x:c>
      <x:c r="H18" s="62" t="n">
        <x:f aca="0">SUM(H16:H17)</x:f>
        <x:v>68691.29004790276</x:v>
      </x:c>
      <x:c r="I18" s="62" t="n">
        <x:f aca="0">SUM(I16:I17)</x:f>
        <x:v>78619.13819887732</x:v>
      </x:c>
      <x:c r="J18" s="62" t="n">
        <x:f aca="0">SUM(J16:J17)</x:f>
        <x:v>88708.10624906475</x:v>
      </x:c>
      <x:c r="K18" s="62" t="n">
        <x:f aca="0">SUM(K16:K17)</x:f>
        <x:v>99001.12753810531</x:v>
      </x:c>
      <x:c r="L18" s="62" t="n">
        <x:f aca="0">SUM(L16:L17)</x:f>
        <x:v>109541.12501103777</x:v>
      </x:c>
      <x:c r="M18" s="62" t="n">
        <x:f aca="0">SUM(M16:M17)</x:f>
        <x:v>120371.21376138783</x:v>
      </x:c>
      <x:c r="N18" s="62" t="n">
        <x:f aca="0">SUM(N16:N17)</x:f>
        <x:v>130867.27905851105</x:v>
      </x:c>
      <x:c r="O18" s="62" t="n">
        <x:f aca="0">SUM(O16:O17)</x:f>
        <x:v>141067.22491093463</x:v>
      </x:c>
      <x:c r="P18" s="62" t="n">
        <x:f aca="0">SUM(P16:P17)</x:f>
        <x:v>151006.30893275532</x:v>
      </x:c>
      <x:c r="Q18" s="62" t="n">
        <x:f aca="0">SUM(Q16:Q17)</x:f>
        <x:v>160717.35838470294</x:v>
      </x:c>
      <x:c r="R18" s="62" t="n">
        <x:f aca="0">SUM(R16:R17)</x:f>
        <x:v>170230.9693060889</x:v>
      </x:c>
      <x:c r="S18" s="62" t="n">
        <x:f aca="0">SUM(S16:S17)</x:f>
        <x:v>179575.6900864265</x:v>
      </x:c>
      <x:c r="T18" s="62" t="n">
        <x:f aca="0">SUM(T16:T17)</x:f>
        <x:v>188778.19071817325</x:v>
      </x:c>
      <x:c r="U18" s="62" t="n">
        <x:f aca="0">SUM(U16:U17)</x:f>
        <x:v>197863.4188732765</x:v>
      </x:c>
      <x:c r="V18" s="62" t="n">
        <x:f aca="0">SUM(V16:V17)</x:f>
        <x:v>206854.74385531872</x:v>
      </x:c>
      <x:c r="W18" s="62" t="n">
        <x:f aca="0">SUM(W16:W17)</x:f>
        <x:v>215774.08939542674</x:v>
      </x:c>
      <x:c r="X18" s="62" t="n">
        <x:f aca="0">SUM(X16:X17)</x:f>
        <x:v>224642.05618315446</x:v>
      </x:c>
      <x:c r="Y18" s="62" t="n">
        <x:f aca="0">SUM(Y16:Y17)</x:f>
        <x:v>233478.0349527323</x:v>
      </x:c>
      <x:c r="Z18" s="62" t="n">
        <x:f aca="0">M18</x:f>
        <x:v>120371.21376138783</x:v>
      </x:c>
      <x:c r="AA18" s="62" t="n">
        <x:f aca="0">Y18</x:f>
        <x:v>233478.0349527323</x:v>
      </x:c>
      <x:c r="AB18" s="52"/>
      <x:c r="AC18" s="52"/>
    </x:row>
    <x:row r="19" ht="15" hidden="0">
      <x:c r="A19" s="56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  <x:c r="AA19" s="57"/>
      <x:c r="AB19" s="52"/>
      <x:c r="AC19" s="52"/>
    </x:row>
    <x:row r="20" ht="15" hidden="0">
      <x:c r="A20" s="58" t="s">
        <x:v>158</x:v>
      </x:c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  <x:c r="N20" s="58"/>
      <x:c r="O20" s="58"/>
      <x:c r="P20" s="58"/>
      <x:c r="Q20" s="58"/>
      <x:c r="R20" s="58"/>
      <x:c r="S20" s="58"/>
      <x:c r="T20" s="58"/>
      <x:c r="U20" s="58"/>
      <x:c r="V20" s="58"/>
      <x:c r="W20" s="58"/>
      <x:c r="X20" s="58"/>
      <x:c r="Y20" s="58"/>
      <x:c r="Z20" s="58"/>
      <x:c r="AA20" s="58"/>
      <x:c r="AB20" s="59"/>
      <x:c r="AC20" s="59"/>
    </x:row>
    <x:row r="21" ht="15" hidden="0">
      <x:c r="A21" s="56" t="s">
        <x:v>159</x:v>
      </x:c>
      <x:c r="B21" s="60" t="n">
        <x:f aca="0">B16*Assumptions!$B$16</x:f>
        <x:v>86184.0585571344</x:v>
      </x:c>
      <x:c r="C21" s="60" t="n">
        <x:f aca="0">C16*Assumptions!$B$16</x:f>
        <x:v>170644.43594312613</x:v>
      </x:c>
      <x:c r="D21" s="60" t="n">
        <x:f aca="0">D16*Assumptions!$B$16</x:f>
        <x:v>253829.28926247227</x:v>
      </x:c>
      <x:c r="E21" s="60" t="n">
        <x:f aca="0">E16*Assumptions!$B$16</x:f>
        <x:v>336169.5388079585</x:v>
      </x:c>
      <x:c r="F21" s="60" t="n">
        <x:f aca="0">F16*Assumptions!$B$16</x:f>
        <x:v>418081.36395099486</x:v>
      </x:c>
      <x:c r="G21" s="60" t="n">
        <x:f aca="0">G16*Assumptions!$B$16</x:f>
        <x:v>499968.56637744873</x:v>
      </x:c>
      <x:c r="H21" s="60" t="n">
        <x:f aca="0">H16*Assumptions!$B$16</x:f>
        <x:v>582224.8153023383</x:v>
      </x:c>
      <x:c r="I21" s="60" t="n">
        <x:f aca="0">I16*Assumptions!$B$16</x:f>
        <x:v>665235.7883673419</x:v>
      </x:c>
      <x:c r="J21" s="60" t="n">
        <x:f aca="0">J16*Assumptions!$B$16</x:f>
        <x:v>749381.2210844967</x:v>
      </x:c>
      <x:c r="K21" s="60" t="n">
        <x:f aca="0">K16*Assumptions!$B$16</x:f>
        <x:v>835036.8769314713</x:v>
      </x:c>
      <x:c r="L21" s="60" t="n">
        <x:f aca="0">L16*Assumptions!$B$16</x:f>
        <x:v>922576.4495227124</x:v>
      </x:c>
      <x:c r="M21" s="60" t="n">
        <x:f aca="0">M16*Assumptions!$B$16</x:f>
        <x:v>1012373.4076713994</x:v>
      </x:c>
      <x:c r="N21" s="60" t="n">
        <x:f aca="0">N16*Assumptions!$B$16</x:f>
        <x:v>1099076.6860209543</x:v>
      </x:c>
      <x:c r="O21" s="60" t="n">
        <x:f aca="0">O16*Assumptions!$B$16</x:f>
        <x:v>1183036.0308766263</x:v>
      </x:c>
      <x:c r="P21" s="60" t="n">
        <x:f aca="0">P16*Assumptions!$B$16</x:f>
        <x:v>1264575.7651372785</x:v>
      </x:c>
      <x:c r="Q21" s="60" t="n">
        <x:f aca="0">Q16*Assumptions!$B$16</x:f>
        <x:v>1343996.8860753477</x:v>
      </x:c>
      <x:c r="R21" s="60" t="n">
        <x:f aca="0">R16*Assumptions!$B$16</x:f>
        <x:v>1421578.9968920979</x:v>
      </x:c>
      <x:c r="S21" s="60" t="n">
        <x:f aca="0">S16*Assumptions!$B$16</x:f>
        <x:v>1497582.0853860774</x:v>
      </x:c>
      <x:c r="T21" s="60" t="n">
        <x:f aca="0">T16*Assumptions!$B$16</x:f>
        <x:v>1572248.1620066727</x:v>
      </x:c>
      <x:c r="U21" s="60" t="n">
        <x:f aca="0">U16*Assumptions!$B$16</x:f>
        <x:v>1645802.7685839068</x:v>
      </x:c>
      <x:c r="V21" s="60" t="n">
        <x:f aca="0">V16*Assumptions!$B$16</x:f>
        <x:v>1718456.3681234068</x:v>
      </x:c>
      <x:c r="W21" s="60" t="n">
        <x:f aca="0">W16*Assumptions!$B$16</x:f>
        <x:v>1790405.6252254015</x:v>
      </x:c>
      <x:c r="X21" s="60" t="n">
        <x:f aca="0">X16*Assumptions!$B$16</x:f>
        <x:v>1861834.5859230335</x:v>
      </x:c>
      <x:c r="Y21" s="60" t="n">
        <x:f aca="0">Y16*Assumptions!$B$16</x:f>
        <x:v>1932915.7650327468</x:v>
      </x:c>
      <x:c r="Z21" s="57" t="n">
        <x:f aca="0">SUM(B21:M21)</x:f>
        <x:v>6531705.811778895</x:v>
      </x:c>
      <x:c r="AA21" s="57" t="n">
        <x:f aca="0">SUM(N21:Y21)</x:f>
        <x:v>18331509.72528355</x:v>
      </x:c>
      <x:c r="AB21" s="52"/>
      <x:c r="AC21" s="52"/>
    </x:row>
    <x:row r="22" ht="15" hidden="0">
      <x:c r="A22" s="56" t="s">
        <x:v>160</x:v>
      </x:c>
      <x:c r="B22" s="60" t="n">
        <x:f aca="0">B17*Assumptions!$B$17</x:f>
        <x:v>21450</x:v>
      </x:c>
      <x:c r="C22" s="60" t="n">
        <x:f aca="0">C17*Assumptions!$B$17</x:f>
        <x:v>43114.5</x:v>
      </x:c>
      <x:c r="D22" s="60" t="n">
        <x:f aca="0">D17*Assumptions!$B$17</x:f>
        <x:v>65059.99500000001</x:v>
      </x:c>
      <x:c r="E22" s="60" t="n">
        <x:f aca="0">E17*Assumptions!$B$17</x:f>
        <x:v>87354.28845000001</x:v>
      </x:c>
      <x:c r="F22" s="60" t="n">
        <x:f aca="0">F17*Assumptions!$B$17</x:f>
        <x:v>110066.70481950001</x:v>
      </x:c>
      <x:c r="G22" s="60" t="n">
        <x:f aca="0">G17*Assumptions!$B$17</x:f>
        <x:v>133268.30821804501</x:v>
      </x:c>
      <x:c r="H22" s="60" t="n">
        <x:f aca="0">H17*Assumptions!$B$17</x:f>
        <x:v>157032.12776503398</x:v>
      </x:c>
      <x:c r="I22" s="60" t="n">
        <x:f aca="0">I17*Assumptions!$B$17</x:f>
        <x:v>181433.39043214693</x:v>
      </x:c>
      <x:c r="J22" s="60" t="n">
        <x:f aca="0">J17*Assumptions!$B$17</x:f>
        <x:v>206549.76210922617</x:v>
      </x:c>
      <x:c r="K22" s="60" t="n">
        <x:f aca="0">K17*Assumptions!$B$17</x:f>
        <x:v>232461.5976743726</x:v>
      </x:c>
      <x:c r="L22" s="60" t="n">
        <x:f aca="0">L17*Assumptions!$B$17</x:f>
        <x:v>259252.20088149817</x:v>
      </x:c>
      <x:c r="M22" s="60" t="n">
        <x:f aca="0">M17*Assumptions!$B$17</x:f>
        <x:v>287008.0949137181</x:v>
      </x:c>
      <x:c r="N22" s="60" t="n">
        <x:f aca="0">N17*Assumptions!$B$17</x:f>
        <x:v>314394.15684623446</x:v>
      </x:c>
      <x:c r="O22" s="60" t="n">
        <x:f aca="0">O17*Assumptions!$B$17</x:f>
        <x:v>341454.32734908</x:v>
      </x:c>
      <x:c r="P22" s="60" t="n">
        <x:f aca="0">P17*Assumptions!$B$17</x:f>
        <x:v>368230.98628541216</x:v>
      </x:c>
      <x:c r="Q22" s="60" t="n">
        <x:f aca="0">Q17*Assumptions!$B$17</x:f>
        <x:v>394765.04665752244</x:v>
      </x:c>
      <x:c r="R22" s="60" t="n">
        <x:f aca="0">R17*Assumptions!$B$17</x:f>
        <x:v>421096.0442531867</x:v>
      </x:c>
      <x:c r="S22" s="60" t="n">
        <x:f aca="0">S17*Assumptions!$B$17</x:f>
        <x:v>447262.2232172812</x:v>
      </x:c>
      <x:c r="T22" s="60" t="n">
        <x:f aca="0">T17*Assumptions!$B$17</x:f>
        <x:v>473300.61776258994</x:v>
      </x:c>
      <x:c r="U22" s="60" t="n">
        <x:f aca="0">U17*Assumptions!$B$17</x:f>
        <x:v>499247.13022328744</x:v>
      </x:c>
      <x:c r="V22" s="60" t="n">
        <x:f aca="0">V17*Assumptions!$B$17</x:f>
        <x:v>525136.6056446708</x:v>
      </x:c>
      <x:c r="W22" s="60" t="n">
        <x:f aca="0">W17*Assumptions!$B$17</x:f>
        <x:v>551002.9030932985</x:v>
      </x:c>
      <x:c r="X22" s="60" t="n">
        <x:f aca="0">X17*Assumptions!$B$17</x:f>
        <x:v>576878.9638627665</x:v>
      </x:c>
      <x:c r="Y22" s="60" t="n">
        <x:f aca="0">Y17*Assumptions!$B$17</x:f>
        <x:v>602796.8767418645</x:v>
      </x:c>
      <x:c r="Z22" s="57" t="n">
        <x:f aca="0">SUM(B22:M22)</x:f>
        <x:v>1784050.970263541</x:v>
      </x:c>
      <x:c r="AA22" s="57" t="n">
        <x:f aca="0">SUM(N22:Y22)</x:f>
        <x:v>5515565.881937195</x:v>
      </x:c>
      <x:c r="AB22" s="52"/>
      <x:c r="AC22" s="52"/>
    </x:row>
    <x:row r="23" ht="15" hidden="0">
      <x:c r="A23" s="56" t="s">
        <x:v>161</x:v>
      </x:c>
      <x:c r="B23" s="57" t="n">
        <x:f aca="0">MIN(B21,B22)</x:f>
        <x:v>21450</x:v>
      </x:c>
      <x:c r="C23" s="57" t="n">
        <x:f aca="0">MIN(C21,C22)</x:f>
        <x:v>43114.5</x:v>
      </x:c>
      <x:c r="D23" s="57" t="n">
        <x:f aca="0">MIN(D21,D22)</x:f>
        <x:v>65059.99500000001</x:v>
      </x:c>
      <x:c r="E23" s="57" t="n">
        <x:f aca="0">MIN(E21,E22)</x:f>
        <x:v>87354.28845000001</x:v>
      </x:c>
      <x:c r="F23" s="57" t="n">
        <x:f aca="0">MIN(F21,F22)</x:f>
        <x:v>110066.70481950001</x:v>
      </x:c>
      <x:c r="G23" s="57" t="n">
        <x:f aca="0">MIN(G21,G22)</x:f>
        <x:v>133268.30821804501</x:v>
      </x:c>
      <x:c r="H23" s="57" t="n">
        <x:f aca="0">MIN(H21,H22)</x:f>
        <x:v>157032.12776503398</x:v>
      </x:c>
      <x:c r="I23" s="57" t="n">
        <x:f aca="0">MIN(I21,I22)</x:f>
        <x:v>181433.39043214693</x:v>
      </x:c>
      <x:c r="J23" s="57" t="n">
        <x:f aca="0">MIN(J21,J22)</x:f>
        <x:v>206549.76210922617</x:v>
      </x:c>
      <x:c r="K23" s="57" t="n">
        <x:f aca="0">MIN(K21,K22)</x:f>
        <x:v>232461.5976743726</x:v>
      </x:c>
      <x:c r="L23" s="57" t="n">
        <x:f aca="0">MIN(L21,L22)</x:f>
        <x:v>259252.20088149817</x:v>
      </x:c>
      <x:c r="M23" s="57" t="n">
        <x:f aca="0">MIN(M21,M22)</x:f>
        <x:v>287008.0949137181</x:v>
      </x:c>
      <x:c r="N23" s="57" t="n">
        <x:f aca="0">MIN(N21,N22)</x:f>
        <x:v>314394.15684623446</x:v>
      </x:c>
      <x:c r="O23" s="57" t="n">
        <x:f aca="0">MIN(O21,O22)</x:f>
        <x:v>341454.32734908</x:v>
      </x:c>
      <x:c r="P23" s="57" t="n">
        <x:f aca="0">MIN(P21,P22)</x:f>
        <x:v>368230.98628541216</x:v>
      </x:c>
      <x:c r="Q23" s="57" t="n">
        <x:f aca="0">MIN(Q21,Q22)</x:f>
        <x:v>394765.04665752244</x:v>
      </x:c>
      <x:c r="R23" s="57" t="n">
        <x:f aca="0">MIN(R21,R22)</x:f>
        <x:v>421096.0442531867</x:v>
      </x:c>
      <x:c r="S23" s="57" t="n">
        <x:f aca="0">MIN(S21,S22)</x:f>
        <x:v>447262.2232172812</x:v>
      </x:c>
      <x:c r="T23" s="57" t="n">
        <x:f aca="0">MIN(T21,T22)</x:f>
        <x:v>473300.61776258994</x:v>
      </x:c>
      <x:c r="U23" s="57" t="n">
        <x:f aca="0">MIN(U21,U22)</x:f>
        <x:v>499247.13022328744</x:v>
      </x:c>
      <x:c r="V23" s="57" t="n">
        <x:f aca="0">MIN(V21,V22)</x:f>
        <x:v>525136.6056446708</x:v>
      </x:c>
      <x:c r="W23" s="57" t="n">
        <x:f aca="0">MIN(W21,W22)</x:f>
        <x:v>551002.9030932985</x:v>
      </x:c>
      <x:c r="X23" s="57" t="n">
        <x:f aca="0">MIN(X21,X22)</x:f>
        <x:v>576878.9638627665</x:v>
      </x:c>
      <x:c r="Y23" s="57" t="n">
        <x:f aca="0">MIN(Y21,Y22)</x:f>
        <x:v>602796.8767418645</x:v>
      </x:c>
      <x:c r="Z23" s="57" t="n">
        <x:f aca="0">SUM(B23:M23)</x:f>
        <x:v>1784050.970263541</x:v>
      </x:c>
      <x:c r="AA23" s="57" t="n">
        <x:f aca="0">SUM(N23:Y23)</x:f>
        <x:v>5515565.881937195</x:v>
      </x:c>
      <x:c r="AB23" s="52"/>
      <x:c r="AC23" s="52"/>
    </x:row>
    <x:row r="24" ht="15" hidden="0">
      <x:c r="A24" s="61" t="s">
        <x:v>162</x:v>
      </x:c>
      <x:c r="B24" s="62" t="n">
        <x:f aca="0">B23*Assumptions!$B$18</x:f>
        <x:v>5362.5</x:v>
      </x:c>
      <x:c r="C24" s="62" t="n">
        <x:f aca="0">C23*Assumptions!$B$18</x:f>
        <x:v>10778.625</x:v>
      </x:c>
      <x:c r="D24" s="62" t="n">
        <x:f aca="0">D23*Assumptions!$B$18</x:f>
        <x:v>16264.998750000002</x:v>
      </x:c>
      <x:c r="E24" s="62" t="n">
        <x:f aca="0">E23*Assumptions!$B$18</x:f>
        <x:v>21838.572112500002</x:v>
      </x:c>
      <x:c r="F24" s="62" t="n">
        <x:f aca="0">F23*Assumptions!$B$18</x:f>
        <x:v>27516.676204875002</x:v>
      </x:c>
      <x:c r="G24" s="62" t="n">
        <x:f aca="0">G23*Assumptions!$B$18</x:f>
        <x:v>33317.077054511254</x:v>
      </x:c>
      <x:c r="H24" s="62" t="n">
        <x:f aca="0">H23*Assumptions!$B$18</x:f>
        <x:v>39258.031941258494</x:v>
      </x:c>
      <x:c r="I24" s="62" t="n">
        <x:f aca="0">I23*Assumptions!$B$18</x:f>
        <x:v>45358.34760803673</x:v>
      </x:c>
      <x:c r="J24" s="62" t="n">
        <x:f aca="0">J23*Assumptions!$B$18</x:f>
        <x:v>51637.44052730654</x:v>
      </x:c>
      <x:c r="K24" s="62" t="n">
        <x:f aca="0">K23*Assumptions!$B$18</x:f>
        <x:v>58115.39941859315</x:v>
      </x:c>
      <x:c r="L24" s="62" t="n">
        <x:f aca="0">L23*Assumptions!$B$18</x:f>
        <x:v>64813.05022037454</x:v>
      </x:c>
      <x:c r="M24" s="62" t="n">
        <x:f aca="0">M23*Assumptions!$B$18</x:f>
        <x:v>71752.02372842953</x:v>
      </x:c>
      <x:c r="N24" s="62" t="n">
        <x:f aca="0">N23*Assumptions!$B$18</x:f>
        <x:v>78598.53921155861</x:v>
      </x:c>
      <x:c r="O24" s="62" t="n">
        <x:f aca="0">O23*Assumptions!$B$18</x:f>
        <x:v>85363.58183727</x:v>
      </x:c>
      <x:c r="P24" s="62" t="n">
        <x:f aca="0">P23*Assumptions!$B$18</x:f>
        <x:v>92057.74657135304</x:v>
      </x:c>
      <x:c r="Q24" s="62" t="n">
        <x:f aca="0">Q23*Assumptions!$B$18</x:f>
        <x:v>98691.26166438061</x:v>
      </x:c>
      <x:c r="R24" s="62" t="n">
        <x:f aca="0">R23*Assumptions!$B$18</x:f>
        <x:v>105274.01106329667</x:v>
      </x:c>
      <x:c r="S24" s="62" t="n">
        <x:f aca="0">S23*Assumptions!$B$18</x:f>
        <x:v>111815.5558043203</x:v>
      </x:c>
      <x:c r="T24" s="62" t="n">
        <x:f aca="0">T23*Assumptions!$B$18</x:f>
        <x:v>118325.15444064749</x:v>
      </x:c>
      <x:c r="U24" s="62" t="n">
        <x:f aca="0">U23*Assumptions!$B$18</x:f>
        <x:v>124811.78255582186</x:v>
      </x:c>
      <x:c r="V24" s="62" t="n">
        <x:f aca="0">V23*Assumptions!$B$18</x:f>
        <x:v>131284.1514111677</x:v>
      </x:c>
      <x:c r="W24" s="62" t="n">
        <x:f aca="0">W23*Assumptions!$B$18</x:f>
        <x:v>137750.72577332464</x:v>
      </x:c>
      <x:c r="X24" s="62" t="n">
        <x:f aca="0">X23*Assumptions!$B$18</x:f>
        <x:v>144219.74096569163</x:v>
      </x:c>
      <x:c r="Y24" s="62" t="n">
        <x:f aca="0">Y23*Assumptions!$B$18</x:f>
        <x:v>150699.21918546612</x:v>
      </x:c>
      <x:c r="Z24" s="62" t="n">
        <x:f aca="0">SUM(B24:M24)</x:f>
        <x:v>446012.74256588524</x:v>
      </x:c>
      <x:c r="AA24" s="62" t="n">
        <x:f aca="0">SUM(N24:Y24)</x:f>
        <x:v>1378891.4704842987</x:v>
      </x:c>
      <x:c r="AB24" s="52"/>
      <x:c r="AC24" s="52"/>
    </x:row>
    <x:row r="25" ht="15" hidden="0">
      <x:c r="A25" s="61" t="s">
        <x:v>163</x:v>
      </x:c>
      <x:c r="B25" s="62" t="n">
        <x:f aca="0">B24*Assumptions!$B$19</x:f>
        <x:v>2681.25</x:v>
      </x:c>
      <x:c r="C25" s="62" t="n">
        <x:f aca="0">C24*Assumptions!$B$19</x:f>
        <x:v>5389.3125</x:v>
      </x:c>
      <x:c r="D25" s="62" t="n">
        <x:f aca="0">D24*Assumptions!$B$19</x:f>
        <x:v>8132.499375000001</x:v>
      </x:c>
      <x:c r="E25" s="62" t="n">
        <x:f aca="0">E24*Assumptions!$B$19</x:f>
        <x:v>10919.286056250001</x:v>
      </x:c>
      <x:c r="F25" s="62" t="n">
        <x:f aca="0">F24*Assumptions!$B$19</x:f>
        <x:v>13758.338102437501</x:v>
      </x:c>
      <x:c r="G25" s="62" t="n">
        <x:f aca="0">G24*Assumptions!$B$19</x:f>
        <x:v>16658.538527255627</x:v>
      </x:c>
      <x:c r="H25" s="62" t="n">
        <x:f aca="0">H24*Assumptions!$B$19</x:f>
        <x:v>19629.015970629247</x:v>
      </x:c>
      <x:c r="I25" s="62" t="n">
        <x:f aca="0">I24*Assumptions!$B$19</x:f>
        <x:v>22679.173804018366</x:v>
      </x:c>
      <x:c r="J25" s="62" t="n">
        <x:f aca="0">J24*Assumptions!$B$19</x:f>
        <x:v>25818.72026365327</x:v>
      </x:c>
      <x:c r="K25" s="62" t="n">
        <x:f aca="0">K24*Assumptions!$B$19</x:f>
        <x:v>29057.699709296576</x:v>
      </x:c>
      <x:c r="L25" s="62" t="n">
        <x:f aca="0">L24*Assumptions!$B$19</x:f>
        <x:v>32406.52511018727</x:v>
      </x:c>
      <x:c r="M25" s="62" t="n">
        <x:f aca="0">M24*Assumptions!$B$19</x:f>
        <x:v>35876.011864214765</x:v>
      </x:c>
      <x:c r="N25" s="62" t="n">
        <x:f aca="0">N24*Assumptions!$B$19</x:f>
        <x:v>39299.26960577931</x:v>
      </x:c>
      <x:c r="O25" s="62" t="n">
        <x:f aca="0">O24*Assumptions!$B$19</x:f>
        <x:v>42681.790918635</x:v>
      </x:c>
      <x:c r="P25" s="62" t="n">
        <x:f aca="0">P24*Assumptions!$B$19</x:f>
        <x:v>46028.87328567652</x:v>
      </x:c>
      <x:c r="Q25" s="62" t="n">
        <x:f aca="0">Q24*Assumptions!$B$19</x:f>
        <x:v>49345.630832190305</x:v>
      </x:c>
      <x:c r="R25" s="62" t="n">
        <x:f aca="0">R24*Assumptions!$B$19</x:f>
        <x:v>52637.005531648334</x:v>
      </x:c>
      <x:c r="S25" s="62" t="n">
        <x:f aca="0">S24*Assumptions!$B$19</x:f>
        <x:v>55907.77790216015</x:v>
      </x:c>
      <x:c r="T25" s="62" t="n">
        <x:f aca="0">T24*Assumptions!$B$19</x:f>
        <x:v>59162.57722032374</x:v>
      </x:c>
      <x:c r="U25" s="62" t="n">
        <x:f aca="0">U24*Assumptions!$B$19</x:f>
        <x:v>62405.89127791093</x:v>
      </x:c>
      <x:c r="V25" s="62" t="n">
        <x:f aca="0">V24*Assumptions!$B$19</x:f>
        <x:v>65642.07570558385</x:v>
      </x:c>
      <x:c r="W25" s="62" t="n">
        <x:f aca="0">W24*Assumptions!$B$19</x:f>
        <x:v>68875.36288666232</x:v>
      </x:c>
      <x:c r="X25" s="62" t="n">
        <x:f aca="0">X24*Assumptions!$B$19</x:f>
        <x:v>72109.87048284581</x:v>
      </x:c>
      <x:c r="Y25" s="62" t="n">
        <x:f aca="0">Y24*Assumptions!$B$19</x:f>
        <x:v>75349.60959273306</x:v>
      </x:c>
      <x:c r="Z25" s="62" t="n">
        <x:f aca="0">SUM(B25:M25)</x:f>
        <x:v>223006.37128294262</x:v>
      </x:c>
      <x:c r="AA25" s="62" t="n">
        <x:f aca="0">SUM(N25:Y25)</x:f>
        <x:v>689445.7352421493</x:v>
      </x:c>
      <x:c r="AB25" s="52"/>
      <x:c r="AC25" s="52"/>
    </x:row>
    <x:row r="26" ht="15" hidden="0">
      <x:c r="A26" s="61" t="s">
        <x:v>164</x:v>
      </x:c>
      <x:c r="B26" s="62" t="n">
        <x:f aca="0">B25*Assumptions!$B$20</x:f>
        <x:v>268.125</x:v>
      </x:c>
      <x:c r="C26" s="62" t="n">
        <x:f aca="0">C25*Assumptions!$B$20</x:f>
        <x:v>538.93125</x:v>
      </x:c>
      <x:c r="D26" s="62" t="n">
        <x:f aca="0">D25*Assumptions!$B$20</x:f>
        <x:v>813.2499375000002</x:v>
      </x:c>
      <x:c r="E26" s="62" t="n">
        <x:f aca="0">E25*Assumptions!$B$20</x:f>
        <x:v>1091.928605625</x:v>
      </x:c>
      <x:c r="F26" s="62" t="n">
        <x:f aca="0">F25*Assumptions!$B$20</x:f>
        <x:v>1375.8338102437501</x:v>
      </x:c>
      <x:c r="G26" s="62" t="n">
        <x:f aca="0">G25*Assumptions!$B$20</x:f>
        <x:v>1665.8538527255628</x:v>
      </x:c>
      <x:c r="H26" s="62" t="n">
        <x:f aca="0">H25*Assumptions!$B$20</x:f>
        <x:v>1962.9015970629248</x:v>
      </x:c>
      <x:c r="I26" s="62" t="n">
        <x:f aca="0">I25*Assumptions!$B$20</x:f>
        <x:v>2267.917380401837</x:v>
      </x:c>
      <x:c r="J26" s="62" t="n">
        <x:f aca="0">J25*Assumptions!$B$20</x:f>
        <x:v>2581.872026365327</x:v>
      </x:c>
      <x:c r="K26" s="62" t="n">
        <x:f aca="0">K25*Assumptions!$B$20</x:f>
        <x:v>2905.7699709296576</x:v>
      </x:c>
      <x:c r="L26" s="62" t="n">
        <x:f aca="0">L25*Assumptions!$B$20</x:f>
        <x:v>3240.652511018727</x:v>
      </x:c>
      <x:c r="M26" s="62" t="n">
        <x:f aca="0">M25*Assumptions!$B$20</x:f>
        <x:v>3587.6011864214765</x:v>
      </x:c>
      <x:c r="N26" s="62" t="n">
        <x:f aca="0">N25*Assumptions!$B$20</x:f>
        <x:v>3929.926960577931</x:v>
      </x:c>
      <x:c r="O26" s="62" t="n">
        <x:f aca="0">O25*Assumptions!$B$20</x:f>
        <x:v>4268.179091863501</x:v>
      </x:c>
      <x:c r="P26" s="62" t="n">
        <x:f aca="0">P25*Assumptions!$B$20</x:f>
        <x:v>4602.887328567652</x:v>
      </x:c>
      <x:c r="Q26" s="62" t="n">
        <x:f aca="0">Q25*Assumptions!$B$20</x:f>
        <x:v>4934.563083219031</x:v>
      </x:c>
      <x:c r="R26" s="62" t="n">
        <x:f aca="0">R25*Assumptions!$B$20</x:f>
        <x:v>5263.700553164834</x:v>
      </x:c>
      <x:c r="S26" s="62" t="n">
        <x:f aca="0">S25*Assumptions!$B$20</x:f>
        <x:v>5590.777790216016</x:v>
      </x:c>
      <x:c r="T26" s="62" t="n">
        <x:f aca="0">T25*Assumptions!$B$20</x:f>
        <x:v>5916.257722032375</x:v>
      </x:c>
      <x:c r="U26" s="62" t="n">
        <x:f aca="0">U25*Assumptions!$B$20</x:f>
        <x:v>6240.589127791093</x:v>
      </x:c>
      <x:c r="V26" s="62" t="n">
        <x:f aca="0">V25*Assumptions!$B$20</x:f>
        <x:v>6564.207570558385</x:v>
      </x:c>
      <x:c r="W26" s="62" t="n">
        <x:f aca="0">W25*Assumptions!$B$20</x:f>
        <x:v>6887.536288666232</x:v>
      </x:c>
      <x:c r="X26" s="62" t="n">
        <x:f aca="0">X25*Assumptions!$B$20</x:f>
        <x:v>7210.987048284582</x:v>
      </x:c>
      <x:c r="Y26" s="62" t="n">
        <x:f aca="0">Y25*Assumptions!$B$20</x:f>
        <x:v>7534.960959273307</x:v>
      </x:c>
      <x:c r="Z26" s="62" t="n">
        <x:f aca="0">SUM(B26:M26)</x:f>
        <x:v>22300.637128294264</x:v>
      </x:c>
      <x:c r="AA26" s="62" t="n">
        <x:f aca="0">SUM(N26:Y26)</x:f>
        <x:v>68944.57352421494</x:v>
      </x:c>
      <x:c r="AB26" s="52"/>
      <x:c r="AC26" s="52"/>
    </x:row>
    <x:row r="27" ht="15" hidden="0">
      <x:c r="A27" s="56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  <x:c r="AA27" s="57"/>
      <x:c r="AB27" s="52"/>
      <x:c r="AC27" s="52"/>
    </x:row>
    <x:row r="28" ht="15" hidden="0">
      <x:c r="A28" s="58" t="s">
        <x:v>165</x:v>
      </x:c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58"/>
      <x:c r="Q28" s="58"/>
      <x:c r="R28" s="58"/>
      <x:c r="S28" s="58"/>
      <x:c r="T28" s="58"/>
      <x:c r="U28" s="58"/>
      <x:c r="V28" s="58"/>
      <x:c r="W28" s="58"/>
      <x:c r="X28" s="58"/>
      <x:c r="Y28" s="58"/>
      <x:c r="Z28" s="58"/>
      <x:c r="AA28" s="58"/>
      <x:c r="AB28" s="59"/>
      <x:c r="AC28" s="59"/>
    </x:row>
    <x:row r="29" ht="15" hidden="0">
      <x:c r="A29" s="56" t="s">
        <x:v>166</x:v>
      </x:c>
      <x:c r="B29" s="60" t="n">
        <x:f aca="0">IF(Assumptions!$B$22=0,B26,IF(Assumptions!$B$22=1,0,IF(Assumptions!$B$22=2,0,IF(Assumptions!$B$22=3,0,IF(Assumptions!$B$22=4,0,IF(Assumptions!$B$22=5,0,IF(Assumptions!$B$22=6,0,IF(Assumptions!$B$22=7,0,IF(Assumptions!$B$22=8,0,IF(Assumptions!$B$22=9,0,IF(Assumptions!$B$22=10,0,IF(Assumptions!$B$22=11,0,IF(Assumptions!$B$22=12,0,0)))))))))))))</x:f>
        <x:v>0</x:v>
      </x:c>
      <x:c r="C29" s="60" t="n">
        <x:f aca="0">IF(Assumptions!$B$22=0,C26,IF(Assumptions!$B$22=1,B26,IF(Assumptions!$B$22=2,0,IF(Assumptions!$B$22=3,0,IF(Assumptions!$B$22=4,0,IF(Assumptions!$B$22=5,0,IF(Assumptions!$B$22=6,0,IF(Assumptions!$B$22=7,0,IF(Assumptions!$B$22=8,0,IF(Assumptions!$B$22=9,0,IF(Assumptions!$B$22=10,0,IF(Assumptions!$B$22=11,0,IF(Assumptions!$B$22=12,0,0)))))))))))))</x:f>
        <x:v>0</x:v>
      </x:c>
      <x:c r="D29" s="60" t="n">
        <x:f aca="0">IF(Assumptions!$B$22=0,D26,IF(Assumptions!$B$22=1,C26,IF(Assumptions!$B$22=2,B26,IF(Assumptions!$B$22=3,0,IF(Assumptions!$B$22=4,0,IF(Assumptions!$B$22=5,0,IF(Assumptions!$B$22=6,0,IF(Assumptions!$B$22=7,0,IF(Assumptions!$B$22=8,0,IF(Assumptions!$B$22=9,0,IF(Assumptions!$B$22=10,0,IF(Assumptions!$B$22=11,0,IF(Assumptions!$B$22=12,0,0)))))))))))))</x:f>
        <x:v>0</x:v>
      </x:c>
      <x:c r="E29" s="60" t="n">
        <x:f aca="0">IF(Assumptions!$B$22=0,E26,IF(Assumptions!$B$22=1,D26,IF(Assumptions!$B$22=2,C26,IF(Assumptions!$B$22=3,B26,IF(Assumptions!$B$22=4,0,IF(Assumptions!$B$22=5,0,IF(Assumptions!$B$22=6,0,IF(Assumptions!$B$22=7,0,IF(Assumptions!$B$22=8,0,IF(Assumptions!$B$22=9,0,IF(Assumptions!$B$22=10,0,IF(Assumptions!$B$22=11,0,IF(Assumptions!$B$22=12,0,0)))))))))))))</x:f>
        <x:v>268.125</x:v>
      </x:c>
      <x:c r="F29" s="60" t="n">
        <x:f aca="0">IF(Assumptions!$B$22=0,F26,IF(Assumptions!$B$22=1,E26,IF(Assumptions!$B$22=2,D26,IF(Assumptions!$B$22=3,C26,IF(Assumptions!$B$22=4,B26,IF(Assumptions!$B$22=5,0,IF(Assumptions!$B$22=6,0,IF(Assumptions!$B$22=7,0,IF(Assumptions!$B$22=8,0,IF(Assumptions!$B$22=9,0,IF(Assumptions!$B$22=10,0,IF(Assumptions!$B$22=11,0,IF(Assumptions!$B$22=12,0,0)))))))))))))</x:f>
        <x:v>538.93125</x:v>
      </x:c>
      <x:c r="G29" s="60" t="n">
        <x:f aca="0">IF(Assumptions!$B$22=0,G26,IF(Assumptions!$B$22=1,F26,IF(Assumptions!$B$22=2,E26,IF(Assumptions!$B$22=3,D26,IF(Assumptions!$B$22=4,C26,IF(Assumptions!$B$22=5,B26,IF(Assumptions!$B$22=6,0,IF(Assumptions!$B$22=7,0,IF(Assumptions!$B$22=8,0,IF(Assumptions!$B$22=9,0,IF(Assumptions!$B$22=10,0,IF(Assumptions!$B$22=11,0,IF(Assumptions!$B$22=12,0,0)))))))))))))</x:f>
        <x:v>813.2499375000002</x:v>
      </x:c>
      <x:c r="H29" s="60" t="n">
        <x:f aca="0">IF(Assumptions!$B$22=0,H26,IF(Assumptions!$B$22=1,G26,IF(Assumptions!$B$22=2,F26,IF(Assumptions!$B$22=3,E26,IF(Assumptions!$B$22=4,D26,IF(Assumptions!$B$22=5,C26,IF(Assumptions!$B$22=6,B26,IF(Assumptions!$B$22=7,0,IF(Assumptions!$B$22=8,0,IF(Assumptions!$B$22=9,0,IF(Assumptions!$B$22=10,0,IF(Assumptions!$B$22=11,0,IF(Assumptions!$B$22=12,0,0)))))))))))))</x:f>
        <x:v>1091.928605625</x:v>
      </x:c>
      <x:c r="I29" s="60" t="n">
        <x:f aca="0">IF(Assumptions!$B$22=0,I26,IF(Assumptions!$B$22=1,H26,IF(Assumptions!$B$22=2,G26,IF(Assumptions!$B$22=3,F26,IF(Assumptions!$B$22=4,E26,IF(Assumptions!$B$22=5,D26,IF(Assumptions!$B$22=6,C26,IF(Assumptions!$B$22=7,B26,IF(Assumptions!$B$22=8,0,IF(Assumptions!$B$22=9,0,IF(Assumptions!$B$22=10,0,IF(Assumptions!$B$22=11,0,IF(Assumptions!$B$22=12,0,0)))))))))))))</x:f>
        <x:v>1375.8338102437501</x:v>
      </x:c>
      <x:c r="J29" s="60" t="n">
        <x:f aca="0">IF(Assumptions!$B$22=0,J26,IF(Assumptions!$B$22=1,I26,IF(Assumptions!$B$22=2,H26,IF(Assumptions!$B$22=3,G26,IF(Assumptions!$B$22=4,F26,IF(Assumptions!$B$22=5,E26,IF(Assumptions!$B$22=6,D26,IF(Assumptions!$B$22=7,C26,IF(Assumptions!$B$22=8,B26,IF(Assumptions!$B$22=9,0,IF(Assumptions!$B$22=10,0,IF(Assumptions!$B$22=11,0,IF(Assumptions!$B$22=12,0,0)))))))))))))</x:f>
        <x:v>1665.8538527255628</x:v>
      </x:c>
      <x:c r="K29" s="60" t="n">
        <x:f aca="0">IF(Assumptions!$B$22=0,K26,IF(Assumptions!$B$22=1,J26,IF(Assumptions!$B$22=2,I26,IF(Assumptions!$B$22=3,H26,IF(Assumptions!$B$22=4,G26,IF(Assumptions!$B$22=5,F26,IF(Assumptions!$B$22=6,E26,IF(Assumptions!$B$22=7,D26,IF(Assumptions!$B$22=8,C26,IF(Assumptions!$B$22=9,B26,IF(Assumptions!$B$22=10,0,IF(Assumptions!$B$22=11,0,IF(Assumptions!$B$22=12,0,0)))))))))))))</x:f>
        <x:v>1962.9015970629248</x:v>
      </x:c>
      <x:c r="L29" s="60" t="n">
        <x:f aca="0">IF(Assumptions!$B$22=0,L26,IF(Assumptions!$B$22=1,K26,IF(Assumptions!$B$22=2,J26,IF(Assumptions!$B$22=3,I26,IF(Assumptions!$B$22=4,H26,IF(Assumptions!$B$22=5,G26,IF(Assumptions!$B$22=6,F26,IF(Assumptions!$B$22=7,E26,IF(Assumptions!$B$22=8,D26,IF(Assumptions!$B$22=9,C26,IF(Assumptions!$B$22=10,B26,IF(Assumptions!$B$22=11,0,IF(Assumptions!$B$22=12,0,0)))))))))))))</x:f>
        <x:v>2267.917380401837</x:v>
      </x:c>
      <x:c r="M29" s="60" t="n">
        <x:f aca="0">IF(Assumptions!$B$22=0,M26,IF(Assumptions!$B$22=1,L26,IF(Assumptions!$B$22=2,K26,IF(Assumptions!$B$22=3,J26,IF(Assumptions!$B$22=4,I26,IF(Assumptions!$B$22=5,H26,IF(Assumptions!$B$22=6,G26,IF(Assumptions!$B$22=7,F26,IF(Assumptions!$B$22=8,E26,IF(Assumptions!$B$22=9,D26,IF(Assumptions!$B$22=10,C26,IF(Assumptions!$B$22=11,B26,IF(Assumptions!$B$22=12,0,0)))))))))))))</x:f>
        <x:v>2581.872026365327</x:v>
      </x:c>
      <x:c r="N29" s="60" t="n">
        <x:f aca="0">IF(Assumptions!$B$22=0,N26,IF(Assumptions!$B$22=1,M26,IF(Assumptions!$B$22=2,L26,IF(Assumptions!$B$22=3,K26,IF(Assumptions!$B$22=4,J26,IF(Assumptions!$B$22=5,I26,IF(Assumptions!$B$22=6,H26,IF(Assumptions!$B$22=7,G26,IF(Assumptions!$B$22=8,F26,IF(Assumptions!$B$22=9,E26,IF(Assumptions!$B$22=10,D26,IF(Assumptions!$B$22=11,C26,IF(Assumptions!$B$22=12,B26,0)))))))))))))</x:f>
        <x:v>2905.7699709296576</x:v>
      </x:c>
      <x:c r="O29" s="60" t="n">
        <x:f aca="0">IF(Assumptions!$B$22=0,O26,IF(Assumptions!$B$22=1,N26,IF(Assumptions!$B$22=2,M26,IF(Assumptions!$B$22=3,L26,IF(Assumptions!$B$22=4,K26,IF(Assumptions!$B$22=5,J26,IF(Assumptions!$B$22=6,I26,IF(Assumptions!$B$22=7,H26,IF(Assumptions!$B$22=8,G26,IF(Assumptions!$B$22=9,F26,IF(Assumptions!$B$22=10,E26,IF(Assumptions!$B$22=11,D26,IF(Assumptions!$B$22=12,C26,0)))))))))))))</x:f>
        <x:v>3240.652511018727</x:v>
      </x:c>
      <x:c r="P29" s="60" t="n">
        <x:f aca="0">IF(Assumptions!$B$22=0,P26,IF(Assumptions!$B$22=1,O26,IF(Assumptions!$B$22=2,N26,IF(Assumptions!$B$22=3,M26,IF(Assumptions!$B$22=4,L26,IF(Assumptions!$B$22=5,K26,IF(Assumptions!$B$22=6,J26,IF(Assumptions!$B$22=7,I26,IF(Assumptions!$B$22=8,H26,IF(Assumptions!$B$22=9,G26,IF(Assumptions!$B$22=10,F26,IF(Assumptions!$B$22=11,E26,IF(Assumptions!$B$22=12,D26,0)))))))))))))</x:f>
        <x:v>3587.6011864214765</x:v>
      </x:c>
      <x:c r="Q29" s="60" t="n">
        <x:f aca="0">IF(Assumptions!$B$22=0,Q26,IF(Assumptions!$B$22=1,P26,IF(Assumptions!$B$22=2,O26,IF(Assumptions!$B$22=3,N26,IF(Assumptions!$B$22=4,M26,IF(Assumptions!$B$22=5,L26,IF(Assumptions!$B$22=6,K26,IF(Assumptions!$B$22=7,J26,IF(Assumptions!$B$22=8,I26,IF(Assumptions!$B$22=9,H26,IF(Assumptions!$B$22=10,G26,IF(Assumptions!$B$22=11,F26,IF(Assumptions!$B$22=12,E26,0)))))))))))))</x:f>
        <x:v>3929.926960577931</x:v>
      </x:c>
      <x:c r="R29" s="60" t="n">
        <x:f aca="0">IF(Assumptions!$B$22=0,R26,IF(Assumptions!$B$22=1,Q26,IF(Assumptions!$B$22=2,P26,IF(Assumptions!$B$22=3,O26,IF(Assumptions!$B$22=4,N26,IF(Assumptions!$B$22=5,M26,IF(Assumptions!$B$22=6,L26,IF(Assumptions!$B$22=7,K26,IF(Assumptions!$B$22=8,J26,IF(Assumptions!$B$22=9,I26,IF(Assumptions!$B$22=10,H26,IF(Assumptions!$B$22=11,G26,IF(Assumptions!$B$22=12,F26,0)))))))))))))</x:f>
        <x:v>4268.179091863501</x:v>
      </x:c>
      <x:c r="S29" s="60" t="n">
        <x:f aca="0">IF(Assumptions!$B$22=0,S26,IF(Assumptions!$B$22=1,R26,IF(Assumptions!$B$22=2,Q26,IF(Assumptions!$B$22=3,P26,IF(Assumptions!$B$22=4,O26,IF(Assumptions!$B$22=5,N26,IF(Assumptions!$B$22=6,M26,IF(Assumptions!$B$22=7,L26,IF(Assumptions!$B$22=8,K26,IF(Assumptions!$B$22=9,J26,IF(Assumptions!$B$22=10,I26,IF(Assumptions!$B$22=11,H26,IF(Assumptions!$B$22=12,G26,0)))))))))))))</x:f>
        <x:v>4602.887328567652</x:v>
      </x:c>
      <x:c r="T29" s="60" t="n">
        <x:f aca="0">IF(Assumptions!$B$22=0,T26,IF(Assumptions!$B$22=1,S26,IF(Assumptions!$B$22=2,R26,IF(Assumptions!$B$22=3,Q26,IF(Assumptions!$B$22=4,P26,IF(Assumptions!$B$22=5,O26,IF(Assumptions!$B$22=6,N26,IF(Assumptions!$B$22=7,M26,IF(Assumptions!$B$22=8,L26,IF(Assumptions!$B$22=9,K26,IF(Assumptions!$B$22=10,J26,IF(Assumptions!$B$22=11,I26,IF(Assumptions!$B$22=12,H26,0)))))))))))))</x:f>
        <x:v>4934.563083219031</x:v>
      </x:c>
      <x:c r="U29" s="60" t="n">
        <x:f aca="0">IF(Assumptions!$B$22=0,U26,IF(Assumptions!$B$22=1,T26,IF(Assumptions!$B$22=2,S26,IF(Assumptions!$B$22=3,R26,IF(Assumptions!$B$22=4,Q26,IF(Assumptions!$B$22=5,P26,IF(Assumptions!$B$22=6,O26,IF(Assumptions!$B$22=7,N26,IF(Assumptions!$B$22=8,M26,IF(Assumptions!$B$22=9,L26,IF(Assumptions!$B$22=10,K26,IF(Assumptions!$B$22=11,J26,IF(Assumptions!$B$22=12,I26,0)))))))))))))</x:f>
        <x:v>5263.700553164834</x:v>
      </x:c>
      <x:c r="V29" s="60" t="n">
        <x:f aca="0">IF(Assumptions!$B$22=0,V26,IF(Assumptions!$B$22=1,U26,IF(Assumptions!$B$22=2,T26,IF(Assumptions!$B$22=3,S26,IF(Assumptions!$B$22=4,R26,IF(Assumptions!$B$22=5,Q26,IF(Assumptions!$B$22=6,P26,IF(Assumptions!$B$22=7,O26,IF(Assumptions!$B$22=8,N26,IF(Assumptions!$B$22=9,M26,IF(Assumptions!$B$22=10,L26,IF(Assumptions!$B$22=11,K26,IF(Assumptions!$B$22=12,J26,0)))))))))))))</x:f>
        <x:v>5590.777790216016</x:v>
      </x:c>
      <x:c r="W29" s="60" t="n">
        <x:f aca="0">IF(Assumptions!$B$22=0,W26,IF(Assumptions!$B$22=1,V26,IF(Assumptions!$B$22=2,U26,IF(Assumptions!$B$22=3,T26,IF(Assumptions!$B$22=4,S26,IF(Assumptions!$B$22=5,R26,IF(Assumptions!$B$22=6,Q26,IF(Assumptions!$B$22=7,P26,IF(Assumptions!$B$22=8,O26,IF(Assumptions!$B$22=9,N26,IF(Assumptions!$B$22=10,M26,IF(Assumptions!$B$22=11,L26,IF(Assumptions!$B$22=12,K26,0)))))))))))))</x:f>
        <x:v>5916.257722032375</x:v>
      </x:c>
      <x:c r="X29" s="60" t="n">
        <x:f aca="0">IF(Assumptions!$B$22=0,X26,IF(Assumptions!$B$22=1,W26,IF(Assumptions!$B$22=2,V26,IF(Assumptions!$B$22=3,U26,IF(Assumptions!$B$22=4,T26,IF(Assumptions!$B$22=5,S26,IF(Assumptions!$B$22=6,R26,IF(Assumptions!$B$22=7,Q26,IF(Assumptions!$B$22=8,P26,IF(Assumptions!$B$22=9,O26,IF(Assumptions!$B$22=10,N26,IF(Assumptions!$B$22=11,M26,IF(Assumptions!$B$22=12,L26,0)))))))))))))</x:f>
        <x:v>6240.589127791093</x:v>
      </x:c>
      <x:c r="Y29" s="60" t="n">
        <x:f aca="0">IF(Assumptions!$B$22=0,Y26,IF(Assumptions!$B$22=1,X26,IF(Assumptions!$B$22=2,W26,IF(Assumptions!$B$22=3,V26,IF(Assumptions!$B$22=4,U26,IF(Assumptions!$B$22=5,T26,IF(Assumptions!$B$22=6,S26,IF(Assumptions!$B$22=7,R26,IF(Assumptions!$B$22=8,Q26,IF(Assumptions!$B$22=9,P26,IF(Assumptions!$B$22=10,O26,IF(Assumptions!$B$22=11,N26,IF(Assumptions!$B$22=12,M26,0)))))))))))))</x:f>
        <x:v>6564.207570558385</x:v>
      </x:c>
      <x:c r="Z29" s="57" t="n">
        <x:f aca="0">SUM(B29:M29)</x:f>
        <x:v>12566.613459924401</x:v>
      </x:c>
      <x:c r="AA29" s="57" t="n">
        <x:f aca="0">SUM(N29:Y29)</x:f>
        <x:v>57045.112896360675</x:v>
      </x:c>
      <x:c r="AB29" s="52"/>
      <x:c r="AC29" s="52"/>
    </x:row>
    <x:row r="30" ht="15" hidden="0">
      <x:c r="A30" s="61" t="s">
        <x:v>167</x:v>
      </x:c>
      <x:c r="B30" s="62" t="n">
        <x:f aca="0">B29*Assumptions!$B$21</x:f>
        <x:v>0</x:v>
      </x:c>
      <x:c r="C30" s="62" t="n">
        <x:f aca="0">C29*Assumptions!$B$21</x:f>
        <x:v>0</x:v>
      </x:c>
      <x:c r="D30" s="62" t="n">
        <x:f aca="0">D29*Assumptions!$B$21</x:f>
        <x:v>0</x:v>
      </x:c>
      <x:c r="E30" s="62" t="n">
        <x:f aca="0">E29*Assumptions!$B$21</x:f>
        <x:v>80.4375</x:v>
      </x:c>
      <x:c r="F30" s="62" t="n">
        <x:f aca="0">F29*Assumptions!$B$21</x:f>
        <x:v>161.679375</x:v>
      </x:c>
      <x:c r="G30" s="62" t="n">
        <x:f aca="0">G29*Assumptions!$B$21</x:f>
        <x:v>243.97498125000004</x:v>
      </x:c>
      <x:c r="H30" s="62" t="n">
        <x:f aca="0">H29*Assumptions!$B$21</x:f>
        <x:v>327.5785816875</x:v>
      </x:c>
      <x:c r="I30" s="62" t="n">
        <x:f aca="0">I29*Assumptions!$B$21</x:f>
        <x:v>412.750143073125</x:v>
      </x:c>
      <x:c r="J30" s="62" t="n">
        <x:f aca="0">J29*Assumptions!$B$21</x:f>
        <x:v>499.7561558176688</x:v>
      </x:c>
      <x:c r="K30" s="62" t="n">
        <x:f aca="0">K29*Assumptions!$B$21</x:f>
        <x:v>588.8704791188774</x:v>
      </x:c>
      <x:c r="L30" s="62" t="n">
        <x:f aca="0">L29*Assumptions!$B$21</x:f>
        <x:v>680.375214120551</x:v>
      </x:c>
      <x:c r="M30" s="62" t="n">
        <x:f aca="0">M29*Assumptions!$B$21</x:f>
        <x:v>774.5616079095981</x:v>
      </x:c>
      <x:c r="N30" s="62" t="n">
        <x:f aca="0">N29*Assumptions!$B$21</x:f>
        <x:v>871.7309912788972</x:v>
      </x:c>
      <x:c r="O30" s="62" t="n">
        <x:f aca="0">O29*Assumptions!$B$21</x:f>
        <x:v>972.1957533056182</x:v>
      </x:c>
      <x:c r="P30" s="62" t="n">
        <x:f aca="0">P29*Assumptions!$B$21</x:f>
        <x:v>1076.280355926443</x:v>
      </x:c>
      <x:c r="Q30" s="62" t="n">
        <x:f aca="0">Q29*Assumptions!$B$21</x:f>
        <x:v>1178.9780881733793</x:v>
      </x:c>
      <x:c r="R30" s="62" t="n">
        <x:f aca="0">R29*Assumptions!$B$21</x:f>
        <x:v>1280.45372755905</x:v>
      </x:c>
      <x:c r="S30" s="62" t="n">
        <x:f aca="0">S29*Assumptions!$B$21</x:f>
        <x:v>1380.8661985702954</x:v>
      </x:c>
      <x:c r="T30" s="62" t="n">
        <x:f aca="0">T29*Assumptions!$B$21</x:f>
        <x:v>1480.3689249657093</x:v>
      </x:c>
      <x:c r="U30" s="62" t="n">
        <x:f aca="0">U29*Assumptions!$B$21</x:f>
        <x:v>1579.11016594945</x:v>
      </x:c>
      <x:c r="V30" s="62" t="n">
        <x:f aca="0">V29*Assumptions!$B$21</x:f>
        <x:v>1677.2333370648048</x:v>
      </x:c>
      <x:c r="W30" s="62" t="n">
        <x:f aca="0">W29*Assumptions!$B$21</x:f>
        <x:v>1774.8773166097124</x:v>
      </x:c>
      <x:c r="X30" s="62" t="n">
        <x:f aca="0">X29*Assumptions!$B$21</x:f>
        <x:v>1872.1767383373278</x:v>
      </x:c>
      <x:c r="Y30" s="62" t="n">
        <x:f aca="0">Y29*Assumptions!$B$21</x:f>
        <x:v>1969.2622711675153</x:v>
      </x:c>
      <x:c r="Z30" s="62" t="n">
        <x:f aca="0">SUM(B30:M30)</x:f>
        <x:v>3769.98403797732</x:v>
      </x:c>
      <x:c r="AA30" s="62" t="n">
        <x:f aca="0">SUM(N30:Y30)</x:f>
        <x:v>17113.533868908205</x:v>
      </x:c>
      <x:c r="AB30" s="52"/>
      <x:c r="AC30" s="52"/>
    </x:row>
    <x:row r="31" ht="15" hidden="0">
      <x:c r="A31" s="56" t="s">
        <x:v>168</x:v>
      </x:c>
      <x:c r="B31" s="57" t="n">
        <x:f aca="0">B30</x:f>
        <x:v>0</x:v>
      </x:c>
      <x:c r="C31" s="57" t="n">
        <x:f aca="0">B31+C30</x:f>
        <x:v>0</x:v>
      </x:c>
      <x:c r="D31" s="57" t="n">
        <x:f aca="0">C31+D30</x:f>
        <x:v>0</x:v>
      </x:c>
      <x:c r="E31" s="57" t="n">
        <x:f aca="0">D31+E30</x:f>
        <x:v>80.4375</x:v>
      </x:c>
      <x:c r="F31" s="57" t="n">
        <x:f aca="0">E31+F30</x:f>
        <x:v>242.116875</x:v>
      </x:c>
      <x:c r="G31" s="57" t="n">
        <x:f aca="0">F31+G30</x:f>
        <x:v>486.09185625000003</x:v>
      </x:c>
      <x:c r="H31" s="57" t="n">
        <x:f aca="0">G31+H30</x:f>
        <x:v>813.6704379375001</x:v>
      </x:c>
      <x:c r="I31" s="57" t="n">
        <x:f aca="0">H31+I30</x:f>
        <x:v>1226.420581010625</x:v>
      </x:c>
      <x:c r="J31" s="57" t="n">
        <x:f aca="0">I31+J30</x:f>
        <x:v>1726.1767368282938</x:v>
      </x:c>
      <x:c r="K31" s="57" t="n">
        <x:f aca="0">J31+K30</x:f>
        <x:v>2315.047215947171</x:v>
      </x:c>
      <x:c r="L31" s="57" t="n">
        <x:f aca="0">K31+L30</x:f>
        <x:v>2995.422430067722</x:v>
      </x:c>
      <x:c r="M31" s="57" t="n">
        <x:f aca="0">L31+M30</x:f>
        <x:v>3769.98403797732</x:v>
      </x:c>
      <x:c r="N31" s="57" t="n">
        <x:f aca="0">M31+N30</x:f>
        <x:v>4641.715029256217</x:v>
      </x:c>
      <x:c r="O31" s="57" t="n">
        <x:f aca="0">N31+O30</x:f>
        <x:v>5613.910782561836</x:v>
      </x:c>
      <x:c r="P31" s="57" t="n">
        <x:f aca="0">O31+P30</x:f>
        <x:v>6690.191138488279</x:v>
      </x:c>
      <x:c r="Q31" s="57" t="n">
        <x:f aca="0">P31+Q30</x:f>
        <x:v>7869.169226661658</x:v>
      </x:c>
      <x:c r="R31" s="57" t="n">
        <x:f aca="0">Q31+R30</x:f>
        <x:v>9149.622954220707</x:v>
      </x:c>
      <x:c r="S31" s="57" t="n">
        <x:f aca="0">R31+S30</x:f>
        <x:v>10530.489152791002</x:v>
      </x:c>
      <x:c r="T31" s="57" t="n">
        <x:f aca="0">S31+T30</x:f>
        <x:v>12010.858077756711</x:v>
      </x:c>
      <x:c r="U31" s="57" t="n">
        <x:f aca="0">T31+U30</x:f>
        <x:v>13589.968243706162</x:v>
      </x:c>
      <x:c r="V31" s="57" t="n">
        <x:f aca="0">U31+V30</x:f>
        <x:v>15267.201580770967</x:v>
      </x:c>
      <x:c r="W31" s="57" t="n">
        <x:f aca="0">V31+W30</x:f>
        <x:v>17042.078897380678</x:v>
      </x:c>
      <x:c r="X31" s="57" t="n">
        <x:f aca="0">W31+X30</x:f>
        <x:v>18914.255635718004</x:v>
      </x:c>
      <x:c r="Y31" s="57" t="n">
        <x:f aca="0">X31+Y30</x:f>
        <x:v>20883.517906885518</x:v>
      </x:c>
      <x:c r="Z31" s="57" t="n">
        <x:f aca="0">M31</x:f>
        <x:v>3769.98403797732</x:v>
      </x:c>
      <x:c r="AA31" s="57" t="n">
        <x:f aca="0">Y31</x:f>
        <x:v>20883.517906885518</x:v>
      </x:c>
      <x:c r="AB31" s="52"/>
      <x:c r="AC31" s="52"/>
    </x:row>
    <x:row r="32" ht="15" hidden="0">
      <x:c r="A32" s="56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  <x:c r="AA32" s="57"/>
      <x:c r="AB32" s="52"/>
      <x:c r="AC32" s="52"/>
    </x:row>
    <x:row r="33" ht="15" hidden="0">
      <x:c r="A33" s="58" t="s">
        <x:v>169</x:v>
      </x:c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  <x:c r="P33" s="58"/>
      <x:c r="Q33" s="58"/>
      <x:c r="R33" s="58"/>
      <x:c r="S33" s="58"/>
      <x:c r="T33" s="58"/>
      <x:c r="U33" s="58"/>
      <x:c r="V33" s="58"/>
      <x:c r="W33" s="58"/>
      <x:c r="X33" s="58"/>
      <x:c r="Y33" s="58"/>
      <x:c r="Z33" s="58"/>
      <x:c r="AA33" s="58"/>
      <x:c r="AB33" s="59"/>
      <x:c r="AC33" s="59"/>
    </x:row>
    <x:row r="34" ht="15" hidden="0">
      <x:c r="A34" s="61" t="s">
        <x:v>170</x:v>
      </x:c>
      <x:c r="B34" s="62" t="n">
        <x:f aca="0">B30</x:f>
        <x:v>0</x:v>
      </x:c>
      <x:c r="C34" s="62" t="n">
        <x:f aca="0">C30</x:f>
        <x:v>0</x:v>
      </x:c>
      <x:c r="D34" s="62" t="n">
        <x:f aca="0">D30</x:f>
        <x:v>0</x:v>
      </x:c>
      <x:c r="E34" s="62" t="n">
        <x:f aca="0">E30</x:f>
        <x:v>80.4375</x:v>
      </x:c>
      <x:c r="F34" s="62" t="n">
        <x:f aca="0">F30</x:f>
        <x:v>161.679375</x:v>
      </x:c>
      <x:c r="G34" s="62" t="n">
        <x:f aca="0">G30</x:f>
        <x:v>243.97498125000004</x:v>
      </x:c>
      <x:c r="H34" s="62" t="n">
        <x:f aca="0">H30</x:f>
        <x:v>327.5785816875</x:v>
      </x:c>
      <x:c r="I34" s="62" t="n">
        <x:f aca="0">I30</x:f>
        <x:v>412.750143073125</x:v>
      </x:c>
      <x:c r="J34" s="62" t="n">
        <x:f aca="0">J30</x:f>
        <x:v>499.7561558176688</x:v>
      </x:c>
      <x:c r="K34" s="62" t="n">
        <x:f aca="0">K30</x:f>
        <x:v>588.8704791188774</x:v>
      </x:c>
      <x:c r="L34" s="62" t="n">
        <x:f aca="0">L30</x:f>
        <x:v>680.375214120551</x:v>
      </x:c>
      <x:c r="M34" s="62" t="n">
        <x:f aca="0">M30</x:f>
        <x:v>774.5616079095981</x:v>
      </x:c>
      <x:c r="N34" s="62" t="n">
        <x:f aca="0">N30</x:f>
        <x:v>871.7309912788972</x:v>
      </x:c>
      <x:c r="O34" s="62" t="n">
        <x:f aca="0">O30</x:f>
        <x:v>972.1957533056182</x:v>
      </x:c>
      <x:c r="P34" s="62" t="n">
        <x:f aca="0">P30</x:f>
        <x:v>1076.280355926443</x:v>
      </x:c>
      <x:c r="Q34" s="62" t="n">
        <x:f aca="0">Q30</x:f>
        <x:v>1178.9780881733793</x:v>
      </x:c>
      <x:c r="R34" s="62" t="n">
        <x:f aca="0">R30</x:f>
        <x:v>1280.45372755905</x:v>
      </x:c>
      <x:c r="S34" s="62" t="n">
        <x:f aca="0">S30</x:f>
        <x:v>1380.8661985702954</x:v>
      </x:c>
      <x:c r="T34" s="62" t="n">
        <x:f aca="0">T30</x:f>
        <x:v>1480.3689249657093</x:v>
      </x:c>
      <x:c r="U34" s="62" t="n">
        <x:f aca="0">U30</x:f>
        <x:v>1579.11016594945</x:v>
      </x:c>
      <x:c r="V34" s="62" t="n">
        <x:f aca="0">V30</x:f>
        <x:v>1677.2333370648048</x:v>
      </x:c>
      <x:c r="W34" s="62" t="n">
        <x:f aca="0">W30</x:f>
        <x:v>1774.8773166097124</x:v>
      </x:c>
      <x:c r="X34" s="62" t="n">
        <x:f aca="0">X30</x:f>
        <x:v>1872.1767383373278</x:v>
      </x:c>
      <x:c r="Y34" s="62" t="n">
        <x:f aca="0">Y30</x:f>
        <x:v>1969.2622711675153</x:v>
      </x:c>
      <x:c r="Z34" s="62" t="n">
        <x:f aca="0">SUM(B34:M34)</x:f>
        <x:v>3769.98403797732</x:v>
      </x:c>
      <x:c r="AA34" s="62" t="n">
        <x:f aca="0">SUM(N34:Y34)</x:f>
        <x:v>17113.533868908205</x:v>
      </x:c>
      <x:c r="AB34" s="52"/>
      <x:c r="AC34" s="52"/>
    </x:row>
    <x:row r="35" ht="15" hidden="0">
      <x:c r="A35" s="61" t="s">
        <x:v>171</x:v>
      </x:c>
      <x:c r="B35" s="62" t="n">
        <x:f aca="0">B34*Assumptions!$B$24</x:f>
        <x:v>0</x:v>
      </x:c>
      <x:c r="C35" s="62" t="n">
        <x:f aca="0">C34*Assumptions!$B$24</x:f>
        <x:v>0</x:v>
      </x:c>
      <x:c r="D35" s="62" t="n">
        <x:f aca="0">D34*Assumptions!$B$24</x:f>
        <x:v>0</x:v>
      </x:c>
      <x:c r="E35" s="62" t="n">
        <x:f aca="0">E34*Assumptions!$B$24</x:f>
        <x:v>44.240625</x:v>
      </x:c>
      <x:c r="F35" s="62" t="n">
        <x:f aca="0">F34*Assumptions!$B$24</x:f>
        <x:v>88.92365625000001</x:v>
      </x:c>
      <x:c r="G35" s="62" t="n">
        <x:f aca="0">G34*Assumptions!$B$24</x:f>
        <x:v>134.18623968750003</x:v>
      </x:c>
      <x:c r="H35" s="62" t="n">
        <x:f aca="0">H34*Assumptions!$B$24</x:f>
        <x:v>180.168219928125</x:v>
      </x:c>
      <x:c r="I35" s="62" t="n">
        <x:f aca="0">I34*Assumptions!$B$24</x:f>
        <x:v>227.01257869021876</x:v>
      </x:c>
      <x:c r="J35" s="62" t="n">
        <x:f aca="0">J34*Assumptions!$B$24</x:f>
        <x:v>274.86588569971786</x:v>
      </x:c>
      <x:c r="K35" s="62" t="n">
        <x:f aca="0">K34*Assumptions!$B$24</x:f>
        <x:v>323.87876351538256</x:v>
      </x:c>
      <x:c r="L35" s="62" t="n">
        <x:f aca="0">L34*Assumptions!$B$24</x:f>
        <x:v>374.2063677663031</x:v>
      </x:c>
      <x:c r="M35" s="62" t="n">
        <x:f aca="0">M34*Assumptions!$B$24</x:f>
        <x:v>426.008884350279</x:v>
      </x:c>
      <x:c r="N35" s="62" t="n">
        <x:f aca="0">N34*Assumptions!$B$24</x:f>
        <x:v>479.45204520339354</x:v>
      </x:c>
      <x:c r="O35" s="62" t="n">
        <x:f aca="0">O34*Assumptions!$B$24</x:f>
        <x:v>534.70766431809</x:v>
      </x:c>
      <x:c r="P35" s="62" t="n">
        <x:f aca="0">P34*Assumptions!$B$24</x:f>
        <x:v>591.9541957595437</x:v>
      </x:c>
      <x:c r="Q35" s="62" t="n">
        <x:f aca="0">Q34*Assumptions!$B$24</x:f>
        <x:v>648.4379484953587</x:v>
      </x:c>
      <x:c r="R35" s="62" t="n">
        <x:f aca="0">R34*Assumptions!$B$24</x:f>
        <x:v>704.2495501574776</x:v>
      </x:c>
      <x:c r="S35" s="62" t="n">
        <x:f aca="0">S34*Assumptions!$B$24</x:f>
        <x:v>759.4764092136626</x:v>
      </x:c>
      <x:c r="T35" s="62" t="n">
        <x:f aca="0">T34*Assumptions!$B$24</x:f>
        <x:v>814.2029087311402</x:v>
      </x:c>
      <x:c r="U35" s="62" t="n">
        <x:f aca="0">U34*Assumptions!$B$24</x:f>
        <x:v>868.5105912721975</x:v>
      </x:c>
      <x:c r="V35" s="62" t="n">
        <x:f aca="0">V34*Assumptions!$B$24</x:f>
        <x:v>922.4783353856427</x:v>
      </x:c>
      <x:c r="W35" s="62" t="n">
        <x:f aca="0">W34*Assumptions!$B$24</x:f>
        <x:v>976.1825241353419</x:v>
      </x:c>
      <x:c r="X35" s="62" t="n">
        <x:f aca="0">X34*Assumptions!$B$24</x:f>
        <x:v>1029.6972060855303</x:v>
      </x:c>
      <x:c r="Y35" s="62" t="n">
        <x:f aca="0">Y34*Assumptions!$B$24</x:f>
        <x:v>1083.0942491421335</x:v>
      </x:c>
      <x:c r="Z35" s="62" t="n">
        <x:f aca="0">SUM(B35:M35)</x:f>
        <x:v>2073.4912208875267</x:v>
      </x:c>
      <x:c r="AA35" s="62" t="n">
        <x:f aca="0">SUM(N35:Y35)</x:f>
        <x:v>9412.443627899513</x:v>
      </x:c>
      <x:c r="AB35" s="52"/>
      <x:c r="AC35" s="52"/>
    </x:row>
    <x:row r="36" ht="15" hidden="0">
      <x:c r="A36" s="56" t="s">
        <x:v>172</x:v>
      </x:c>
      <x:c r="B36" s="57" t="n">
        <x:f aca="0">B34</x:f>
        <x:v>0</x:v>
      </x:c>
      <x:c r="C36" s="57" t="n">
        <x:f aca="0">B36*(1-Assumptions!$B$28)+C34</x:f>
        <x:v>0</x:v>
      </x:c>
      <x:c r="D36" s="57" t="n">
        <x:f aca="0">C36*(1-Assumptions!$B$28)+D34</x:f>
        <x:v>0</x:v>
      </x:c>
      <x:c r="E36" s="57" t="n">
        <x:f aca="0">D36*(1-Assumptions!$B$28)+E34</x:f>
        <x:v>80.4375</x:v>
      </x:c>
      <x:c r="F36" s="57" t="n">
        <x:f aca="0">E36*(1-Assumptions!$B$28)+F34</x:f>
        <x:v>240.91031249999997</x:v>
      </x:c>
      <x:c r="G36" s="57" t="n">
        <x:f aca="0">F36*(1-Assumptions!$B$28)+G34</x:f>
        <x:v>481.2716390625</x:v>
      </x:c>
      <x:c r="H36" s="57" t="n">
        <x:f aca="0">G36*(1-Assumptions!$B$28)+H34</x:f>
        <x:v>801.6311461640626</x:v>
      </x:c>
      <x:c r="I36" s="57" t="n">
        <x:f aca="0">H36*(1-Assumptions!$B$28)+I34</x:f>
        <x:v>1202.3568220447266</x:v>
      </x:c>
      <x:c r="J36" s="57" t="n">
        <x:f aca="0">I36*(1-Assumptions!$B$28)+J34</x:f>
        <x:v>1684.0776255317244</x:v>
      </x:c>
      <x:c r="K36" s="57" t="n">
        <x:f aca="0">J36*(1-Assumptions!$B$28)+K34</x:f>
        <x:v>2247.6869402676257</x:v>
      </x:c>
      <x:c r="L36" s="57" t="n">
        <x:f aca="0">K36*(1-Assumptions!$B$28)+L34</x:f>
        <x:v>2894.3468502841624</x:v>
      </x:c>
      <x:c r="M36" s="57" t="n">
        <x:f aca="0">L36*(1-Assumptions!$B$28)+M34</x:f>
        <x:v>3625.493255439498</x:v>
      </x:c>
      <x:c r="N36" s="57" t="n">
        <x:f aca="0">M36*(1-Assumptions!$B$28)+N34</x:f>
        <x:v>4442.8418478868025</x:v>
      </x:c>
      <x:c r="O36" s="57" t="n">
        <x:f aca="0">N36*(1-Assumptions!$B$28)+O34</x:f>
        <x:v>5348.394973474119</x:v>
      </x:c>
      <x:c r="P36" s="57" t="n">
        <x:f aca="0">O36*(1-Assumptions!$B$28)+P34</x:f>
        <x:v>6344.44940479845</x:v>
      </x:c>
      <x:c r="Q36" s="57" t="n">
        <x:f aca="0">P36*(1-Assumptions!$B$28)+Q34</x:f>
        <x:v>7428.260751899853</x:v>
      </x:c>
      <x:c r="R36" s="57" t="n">
        <x:f aca="0">Q36*(1-Assumptions!$B$28)+R34</x:f>
        <x:v>8597.290568180404</x:v>
      </x:c>
      <x:c r="S36" s="57" t="n">
        <x:f aca="0">R36*(1-Assumptions!$B$28)+S34</x:f>
        <x:v>9849.197408227992</x:v>
      </x:c>
      <x:c r="T36" s="57" t="n">
        <x:f aca="0">S36*(1-Assumptions!$B$28)+T34</x:f>
        <x:v>11181.828372070282</x:v>
      </x:c>
      <x:c r="U36" s="57" t="n">
        <x:f aca="0">T36*(1-Assumptions!$B$28)+U34</x:f>
        <x:v>12593.211112438677</x:v>
      </x:c>
      <x:c r="V36" s="57" t="n">
        <x:f aca="0">U36*(1-Assumptions!$B$28)+V34</x:f>
        <x:v>14081.546282816902</x:v>
      </x:c>
      <x:c r="W36" s="57" t="n">
        <x:f aca="0">V36*(1-Assumptions!$B$28)+W34</x:f>
        <x:v>15645.200405184361</x:v>
      </x:c>
      <x:c r="X36" s="57" t="n">
        <x:f aca="0">W36*(1-Assumptions!$B$28)+X34</x:f>
        <x:v>17282.699137443924</x:v>
      </x:c>
      <x:c r="Y36" s="57" t="n">
        <x:f aca="0">X36*(1-Assumptions!$B$28)+Y34</x:f>
        <x:v>18992.72092154978</x:v>
      </x:c>
      <x:c r="Z36" s="57" t="n">
        <x:f aca="0">M36</x:f>
        <x:v>3625.493255439498</x:v>
      </x:c>
      <x:c r="AA36" s="57" t="n">
        <x:f aca="0">Y36</x:f>
        <x:v>18992.72092154978</x:v>
      </x:c>
      <x:c r="AB36" s="52"/>
      <x:c r="AC36" s="52"/>
    </x:row>
    <x:row r="37" ht="15" hidden="0">
      <x:c r="A37" s="56" t="s">
        <x:v>173</x:v>
      </x:c>
      <x:c r="B37" s="57" t="n">
        <x:f aca="0">B35</x:f>
        <x:v>0</x:v>
      </x:c>
      <x:c r="C37" s="57" t="n">
        <x:f aca="0">B37*(1-Assumptions!$B$29)+C35</x:f>
        <x:v>0</x:v>
      </x:c>
      <x:c r="D37" s="57" t="n">
        <x:f aca="0">C37*(1-Assumptions!$B$29)+D35</x:f>
        <x:v>0</x:v>
      </x:c>
      <x:c r="E37" s="57" t="n">
        <x:f aca="0">D37*(1-Assumptions!$B$29)+E35</x:f>
        <x:v>44.240625</x:v>
      </x:c>
      <x:c r="F37" s="57" t="n">
        <x:f aca="0">E37*(1-Assumptions!$B$29)+F35</x:f>
        <x:v>132.27946875</x:v>
      </x:c>
      <x:c r="G37" s="57" t="n">
        <x:f aca="0">F37*(1-Assumptions!$B$29)+G35</x:f>
        <x:v>263.8201190625</x:v>
      </x:c>
      <x:c r="H37" s="57" t="n">
        <x:f aca="0">G37*(1-Assumptions!$B$29)+H35</x:f>
        <x:v>438.711936609375</x:v>
      </x:c>
      <x:c r="I37" s="57" t="n">
        <x:f aca="0">H37*(1-Assumptions!$B$29)+I35</x:f>
        <x:v>656.9502765674063</x:v>
      </x:c>
      <x:c r="J37" s="57" t="n">
        <x:f aca="0">I37*(1-Assumptions!$B$29)+J35</x:f>
        <x:v>918.677156735776</x:v>
      </x:c>
      <x:c r="K37" s="57" t="n">
        <x:f aca="0">J37*(1-Assumptions!$B$29)+K35</x:f>
        <x:v>1224.182377116443</x:v>
      </x:c>
      <x:c r="L37" s="57" t="n">
        <x:f aca="0">K37*(1-Assumptions!$B$29)+L35</x:f>
        <x:v>1573.9050973404171</x:v>
      </x:c>
      <x:c r="M37" s="57" t="n">
        <x:f aca="0">L37*(1-Assumptions!$B$29)+M35</x:f>
        <x:v>1968.4358797438877</x:v>
      </x:c>
      <x:c r="N37" s="57" t="n">
        <x:f aca="0">M37*(1-Assumptions!$B$29)+N35</x:f>
        <x:v>2408.5192073524036</x:v>
      </x:c>
      <x:c r="O37" s="57" t="n">
        <x:f aca="0">N37*(1-Assumptions!$B$29)+O35</x:f>
        <x:v>2895.0564875234454</x:v>
      </x:c>
      <x:c r="P37" s="57" t="n">
        <x:f aca="0">O37*(1-Assumptions!$B$29)+P35</x:f>
        <x:v>3429.1095535325203</x:v>
      </x:c>
      <x:c r="Q37" s="57" t="n">
        <x:f aca="0">P37*(1-Assumptions!$B$29)+Q35</x:f>
        <x:v>4008.9653109572287</x:v>
      </x:c>
      <x:c r="R37" s="57" t="n">
        <x:f aca="0">Q37*(1-Assumptions!$B$29)+R35</x:f>
        <x:v>4633.035554895561</x:v>
      </x:c>
      <x:c r="S37" s="57" t="n">
        <x:f aca="0">R37*(1-Assumptions!$B$29)+S35</x:f>
        <x:v>5299.851253011313</x:v>
      </x:c>
      <x:c r="T37" s="57" t="n">
        <x:f aca="0">S37*(1-Assumptions!$B$29)+T35</x:f>
        <x:v>6008.057136682227</x:v>
      </x:c>
      <x:c r="U37" s="57" t="n">
        <x:f aca="0">T37*(1-Assumptions!$B$29)+U35</x:f>
        <x:v>6756.40658522078</x:v>
      </x:c>
      <x:c r="V37" s="57" t="n">
        <x:f aca="0">U37*(1-Assumptions!$B$29)+V35</x:f>
        <x:v>7543.7567889020065</x:v>
      </x:c>
      <x:c r="W37" s="57" t="n">
        <x:f aca="0">V37*(1-Assumptions!$B$29)+W35</x:f>
        <x:v>8369.064177259308</x:v>
      </x:c>
      <x:c r="X37" s="57" t="n">
        <x:f aca="0">W37*(1-Assumptions!$B$29)+X35</x:f>
        <x:v>9231.380099799651</x:v>
      </x:c>
      <x:c r="Y37" s="57" t="n">
        <x:f aca="0">X37*(1-Assumptions!$B$29)+Y35</x:f>
        <x:v>10129.846746945792</x:v>
      </x:c>
      <x:c r="Z37" s="57" t="n">
        <x:f aca="0">M37</x:f>
        <x:v>1968.4358797438877</x:v>
      </x:c>
      <x:c r="AA37" s="57" t="n">
        <x:f aca="0">Y37</x:f>
        <x:v>10129.846746945792</x:v>
      </x:c>
      <x:c r="AB37" s="52"/>
      <x:c r="AC37" s="52"/>
    </x:row>
    <x:row r="38" ht="15" hidden="0">
      <x:c r="A38" s="56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  <x:c r="AA38" s="57"/>
      <x:c r="AB38" s="52"/>
      <x:c r="AC38" s="52"/>
    </x:row>
    <x:row r="39" ht="15" hidden="0">
      <x:c r="A39" s="58" t="s">
        <x:v>174</x:v>
      </x:c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58"/>
      <x:c r="Q39" s="58"/>
      <x:c r="R39" s="58"/>
      <x:c r="S39" s="58"/>
      <x:c r="T39" s="58"/>
      <x:c r="U39" s="58"/>
      <x:c r="V39" s="58"/>
      <x:c r="W39" s="58"/>
      <x:c r="X39" s="58"/>
      <x:c r="Y39" s="58"/>
      <x:c r="Z39" s="58"/>
      <x:c r="AA39" s="58"/>
      <x:c r="AB39" s="59"/>
      <x:c r="AC39" s="59"/>
    </x:row>
    <x:row r="40" ht="23.850000381469727" hidden="0">
      <x:c r="A40" s="56" t="s">
        <x:v>175</x:v>
      </x:c>
      <x:c r="B40" s="60" t="n">
        <x:f aca="0">B15*Assumptions!$B$25</x:f>
        <x:v>643.5</x:v>
      </x:c>
      <x:c r="C40" s="60" t="n">
        <x:f aca="0">C15*Assumptions!$B$25</x:f>
        <x:v>682.11</x:v>
      </x:c>
      <x:c r="D40" s="60" t="n">
        <x:f aca="0">D15*Assumptions!$B$25</x:f>
        <x:v>723.0366</x:v>
      </x:c>
      <x:c r="E40" s="60" t="n">
        <x:f aca="0">E15*Assumptions!$B$25</x:f>
        <x:v>766.418796</x:v>
      </x:c>
      <x:c r="F40" s="60" t="n">
        <x:f aca="0">F15*Assumptions!$B$25</x:f>
        <x:v>812.4039237600001</x:v>
      </x:c>
      <x:c r="G40" s="60" t="n">
        <x:f aca="0">G15*Assumptions!$B$25</x:f>
        <x:v>861.1481591856002</x:v>
      </x:c>
      <x:c r="H40" s="60" t="n">
        <x:f aca="0">H15*Assumptions!$B$25</x:f>
        <x:v>912.8170487367362</x:v>
      </x:c>
      <x:c r="I40" s="60" t="n">
        <x:f aca="0">I15*Assumptions!$B$25</x:f>
        <x:v>967.5860716609404</x:v>
      </x:c>
      <x:c r="J40" s="60" t="n">
        <x:f aca="0">J15*Assumptions!$B$25</x:f>
        <x:v>1025.641235960597</x:v>
      </x:c>
      <x:c r="K40" s="60" t="n">
        <x:f aca="0">K15*Assumptions!$B$25</x:f>
        <x:v>1087.1797101182326</x:v>
      </x:c>
      <x:c r="L40" s="60" t="n">
        <x:f aca="0">L15*Assumptions!$B$25</x:f>
        <x:v>1152.4104927253265</x:v>
      </x:c>
      <x:c r="M40" s="60" t="n">
        <x:f aca="0">M15*Assumptions!$B$25</x:f>
        <x:v>1221.5551222888464</x:v>
      </x:c>
      <x:c r="N40" s="60" t="n">
        <x:f aca="0">N15*Assumptions!$B$25</x:f>
        <x:v>1252.0940003460676</x:v>
      </x:c>
      <x:c r="O40" s="60" t="n">
        <x:f aca="0">O15*Assumptions!$B$25</x:f>
        <x:v>1283.3963503547193</x:v>
      </x:c>
      <x:c r="P40" s="60" t="n">
        <x:f aca="0">P15*Assumptions!$B$25</x:f>
        <x:v>1315.481259113587</x:v>
      </x:c>
      <x:c r="Q40" s="60" t="n">
        <x:f aca="0">Q15*Assumptions!$B$25</x:f>
        <x:v>1348.3682905914266</x:v>
      </x:c>
      <x:c r="R40" s="60" t="n">
        <x:f aca="0">R15*Assumptions!$B$25</x:f>
        <x:v>1382.0774978562122</x:v>
      </x:c>
      <x:c r="S40" s="60" t="n">
        <x:f aca="0">S15*Assumptions!$B$25</x:f>
        <x:v>1416.6294353026174</x:v>
      </x:c>
      <x:c r="T40" s="60" t="n">
        <x:f aca="0">T15*Assumptions!$B$25</x:f>
        <x:v>1452.0451711851827</x:v>
      </x:c>
      <x:c r="U40" s="60" t="n">
        <x:f aca="0">U15*Assumptions!$B$25</x:f>
        <x:v>1488.346300464812</x:v>
      </x:c>
      <x:c r="V40" s="60" t="n">
        <x:f aca="0">V15*Assumptions!$B$25</x:f>
        <x:v>1525.554957976432</x:v>
      </x:c>
      <x:c r="W40" s="60" t="n">
        <x:f aca="0">W15*Assumptions!$B$25</x:f>
        <x:v>1563.6938319258427</x:v>
      </x:c>
      <x:c r="X40" s="60" t="n">
        <x:f aca="0">X15*Assumptions!$B$25</x:f>
        <x:v>1602.7861777239887</x:v>
      </x:c>
      <x:c r="Y40" s="60" t="n">
        <x:f aca="0">Y15*Assumptions!$B$25</x:f>
        <x:v>1642.8558321670882</x:v>
      </x:c>
      <x:c r="Z40" s="57" t="n">
        <x:f aca="0">SUM(B40:M40)</x:f>
        <x:v>10855.80716043628</x:v>
      </x:c>
      <x:c r="AA40" s="57" t="n">
        <x:f aca="0">SUM(N40:Y40)</x:f>
        <x:v>17273.329105007975</x:v>
      </x:c>
      <x:c r="AB40" s="52"/>
      <x:c r="AC40" s="52"/>
    </x:row>
    <x:row r="41" ht="15" hidden="0">
      <x:c r="A41" s="56" t="s">
        <x:v>176</x:v>
      </x:c>
      <x:c r="B41" s="60" t="n">
        <x:f aca="0">B40*Assumptions!$B$26</x:f>
        <x:v>418.27500000000003</x:v>
      </x:c>
      <x:c r="C41" s="60" t="n">
        <x:f aca="0">C40*Assumptions!$B$26</x:f>
        <x:v>443.3715</x:v>
      </x:c>
      <x:c r="D41" s="60" t="n">
        <x:f aca="0">D40*Assumptions!$B$26</x:f>
        <x:v>469.97379</x:v>
      </x:c>
      <x:c r="E41" s="60" t="n">
        <x:f aca="0">E40*Assumptions!$B$26</x:f>
        <x:v>498.1722174</x:v>
      </x:c>
      <x:c r="F41" s="60" t="n">
        <x:f aca="0">F40*Assumptions!$B$26</x:f>
        <x:v>528.0625504440001</x:v>
      </x:c>
      <x:c r="G41" s="60" t="n">
        <x:f aca="0">G40*Assumptions!$B$26</x:f>
        <x:v>559.7463034706401</x:v>
      </x:c>
      <x:c r="H41" s="60" t="n">
        <x:f aca="0">H40*Assumptions!$B$26</x:f>
        <x:v>593.3310816788785</x:v>
      </x:c>
      <x:c r="I41" s="60" t="n">
        <x:f aca="0">I40*Assumptions!$B$26</x:f>
        <x:v>628.9309465796113</x:v>
      </x:c>
      <x:c r="J41" s="60" t="n">
        <x:f aca="0">J40*Assumptions!$B$26</x:f>
        <x:v>666.6668033743881</x:v>
      </x:c>
      <x:c r="K41" s="60" t="n">
        <x:f aca="0">K40*Assumptions!$B$26</x:f>
        <x:v>706.6668115768513</x:v>
      </x:c>
      <x:c r="L41" s="60" t="n">
        <x:f aca="0">L40*Assumptions!$B$26</x:f>
        <x:v>749.0668202714622</x:v>
      </x:c>
      <x:c r="M41" s="60" t="n">
        <x:f aca="0">M40*Assumptions!$B$26</x:f>
        <x:v>794.0108294877502</x:v>
      </x:c>
      <x:c r="N41" s="60" t="n">
        <x:f aca="0">N40*Assumptions!$B$26</x:f>
        <x:v>813.8611002249439</x:v>
      </x:c>
      <x:c r="O41" s="60" t="n">
        <x:f aca="0">O40*Assumptions!$B$26</x:f>
        <x:v>834.2076277305675</x:v>
      </x:c>
      <x:c r="P41" s="60" t="n">
        <x:f aca="0">P40*Assumptions!$B$26</x:f>
        <x:v>855.0628184238316</x:v>
      </x:c>
      <x:c r="Q41" s="60" t="n">
        <x:f aca="0">Q40*Assumptions!$B$26</x:f>
        <x:v>876.4393888844273</x:v>
      </x:c>
      <x:c r="R41" s="60" t="n">
        <x:f aca="0">R40*Assumptions!$B$26</x:f>
        <x:v>898.3503736065379</x:v>
      </x:c>
      <x:c r="S41" s="60" t="n">
        <x:f aca="0">S40*Assumptions!$B$26</x:f>
        <x:v>920.8091329467013</x:v>
      </x:c>
      <x:c r="T41" s="60" t="n">
        <x:f aca="0">T40*Assumptions!$B$26</x:f>
        <x:v>943.8293612703687</x:v>
      </x:c>
      <x:c r="U41" s="60" t="n">
        <x:f aca="0">U40*Assumptions!$B$26</x:f>
        <x:v>967.4250953021278</x:v>
      </x:c>
      <x:c r="V41" s="60" t="n">
        <x:f aca="0">V40*Assumptions!$B$26</x:f>
        <x:v>991.6107226846808</x:v>
      </x:c>
      <x:c r="W41" s="60" t="n">
        <x:f aca="0">W40*Assumptions!$B$26</x:f>
        <x:v>1016.4009907517977</x:v>
      </x:c>
      <x:c r="X41" s="60" t="n">
        <x:f aca="0">X40*Assumptions!$B$26</x:f>
        <x:v>1041.8110155205927</x:v>
      </x:c>
      <x:c r="Y41" s="60" t="n">
        <x:f aca="0">Y40*Assumptions!$B$26</x:f>
        <x:v>1067.8562909086074</x:v>
      </x:c>
      <x:c r="Z41" s="57" t="n">
        <x:f aca="0">SUM(B41:M41)</x:f>
        <x:v>7056.274654283582</x:v>
      </x:c>
      <x:c r="AA41" s="57" t="n">
        <x:f aca="0">SUM(N41:Y41)</x:f>
        <x:v>11227.663918255184</x:v>
      </x:c>
      <x:c r="AB41" s="52"/>
      <x:c r="AC41" s="52"/>
    </x:row>
    <x:row r="42" ht="15" hidden="0">
      <x:c r="A42" s="56" t="s">
        <x:v>177</x:v>
      </x:c>
      <x:c r="B42" s="60" t="n">
        <x:f aca="0">B41*Assumptions!$B$27</x:f>
        <x:v>146.39625</x:v>
      </x:c>
      <x:c r="C42" s="60" t="n">
        <x:f aca="0">C41*Assumptions!$B$27</x:f>
        <x:v>155.180025</x:v>
      </x:c>
      <x:c r="D42" s="60" t="n">
        <x:f aca="0">D41*Assumptions!$B$27</x:f>
        <x:v>164.4908265</x:v>
      </x:c>
      <x:c r="E42" s="60" t="n">
        <x:f aca="0">E41*Assumptions!$B$27</x:f>
        <x:v>174.36027608999999</x:v>
      </x:c>
      <x:c r="F42" s="60" t="n">
        <x:f aca="0">F41*Assumptions!$B$27</x:f>
        <x:v>184.8218926554</x:v>
      </x:c>
      <x:c r="G42" s="60" t="n">
        <x:f aca="0">G41*Assumptions!$B$27</x:f>
        <x:v>195.91120621472402</x:v>
      </x:c>
      <x:c r="H42" s="60" t="n">
        <x:f aca="0">H41*Assumptions!$B$27</x:f>
        <x:v>207.66587858760747</x:v>
      </x:c>
      <x:c r="I42" s="60" t="n">
        <x:f aca="0">I41*Assumptions!$B$27</x:f>
        <x:v>220.12583130286393</x:v>
      </x:c>
      <x:c r="J42" s="60" t="n">
        <x:f aca="0">J41*Assumptions!$B$27</x:f>
        <x:v>233.33338118103583</x:v>
      </x:c>
      <x:c r="K42" s="60" t="n">
        <x:f aca="0">K41*Assumptions!$B$27</x:f>
        <x:v>247.33338405189792</x:v>
      </x:c>
      <x:c r="L42" s="60" t="n">
        <x:f aca="0">L41*Assumptions!$B$27</x:f>
        <x:v>262.1733870950118</x:v>
      </x:c>
      <x:c r="M42" s="60" t="n">
        <x:f aca="0">M41*Assumptions!$B$27</x:f>
        <x:v>277.9037903207126</x:v>
      </x:c>
      <x:c r="N42" s="60" t="n">
        <x:f aca="0">N41*Assumptions!$B$27</x:f>
        <x:v>284.85138507873035</x:v>
      </x:c>
      <x:c r="O42" s="60" t="n">
        <x:f aca="0">O41*Assumptions!$B$27</x:f>
        <x:v>291.9726697056986</x:v>
      </x:c>
      <x:c r="P42" s="60" t="n">
        <x:f aca="0">P41*Assumptions!$B$27</x:f>
        <x:v>299.271986448341</x:v>
      </x:c>
      <x:c r="Q42" s="60" t="n">
        <x:f aca="0">Q41*Assumptions!$B$27</x:f>
        <x:v>306.75378610954954</x:v>
      </x:c>
      <x:c r="R42" s="60" t="n">
        <x:f aca="0">R41*Assumptions!$B$27</x:f>
        <x:v>314.42263076228824</x:v>
      </x:c>
      <x:c r="S42" s="60" t="n">
        <x:f aca="0">S41*Assumptions!$B$27</x:f>
        <x:v>322.2831965313454</x:v>
      </x:c>
      <x:c r="T42" s="60" t="n">
        <x:f aca="0">T41*Assumptions!$B$27</x:f>
        <x:v>330.340276444629</x:v>
      </x:c>
      <x:c r="U42" s="60" t="n">
        <x:f aca="0">U41*Assumptions!$B$27</x:f>
        <x:v>338.59878335574473</x:v>
      </x:c>
      <x:c r="V42" s="60" t="n">
        <x:f aca="0">V41*Assumptions!$B$27</x:f>
        <x:v>347.0637529396383</x:v>
      </x:c>
      <x:c r="W42" s="60" t="n">
        <x:f aca="0">W41*Assumptions!$B$27</x:f>
        <x:v>355.7403467631292</x:v>
      </x:c>
      <x:c r="X42" s="60" t="n">
        <x:f aca="0">X41*Assumptions!$B$27</x:f>
        <x:v>364.63385543220744</x:v>
      </x:c>
      <x:c r="Y42" s="60" t="n">
        <x:f aca="0">Y41*Assumptions!$B$27</x:f>
        <x:v>373.74970181801257</x:v>
      </x:c>
      <x:c r="Z42" s="57" t="n">
        <x:f aca="0">SUM(B42:M42)</x:f>
        <x:v>2469.6961289992532</x:v>
      </x:c>
      <x:c r="AA42" s="57" t="n">
        <x:f aca="0">SUM(N42:Y42)</x:f>
        <x:v>3929.682371389314</x:v>
      </x:c>
      <x:c r="AB42" s="52"/>
      <x:c r="AC42" s="52"/>
    </x:row>
    <x:row r="43" ht="23.850000381469727" hidden="0">
      <x:c r="A43" s="56" t="s">
        <x:v>178</x:v>
      </x:c>
      <x:c r="B43" s="57" t="n">
        <x:f aca="0">B42</x:f>
        <x:v>146.39625</x:v>
      </x:c>
      <x:c r="C43" s="57" t="n">
        <x:f aca="0">B43*(1-Assumptions!$B$29)+C42</x:f>
        <x:v>298.64835</x:v>
      </x:c>
      <x:c r="D43" s="57" t="n">
        <x:f aca="0">C43*(1-Assumptions!$B$29)+D42</x:f>
        <x:v>457.16620950000004</x:v>
      </x:c>
      <x:c r="E43" s="57" t="n">
        <x:f aca="0">D43*(1-Assumptions!$B$29)+E42</x:f>
        <x:v>622.3831614000001</x:v>
      </x:c>
      <x:c r="F43" s="57" t="n">
        <x:f aca="0">E43*(1-Assumptions!$B$29)+F42</x:f>
        <x:v>794.7573908274001</x:v>
      </x:c>
      <x:c r="G43" s="57" t="n">
        <x:f aca="0">F43*(1-Assumptions!$B$29)+G42</x:f>
        <x:v>974.7734492255761</x:v>
      </x:c>
      <x:c r="H43" s="57" t="n">
        <x:f aca="0">G43*(1-Assumptions!$B$29)+H42</x:f>
        <x:v>1162.943858828672</x:v>
      </x:c>
      <x:c r="I43" s="57" t="n">
        <x:f aca="0">H43*(1-Assumptions!$B$29)+I42</x:f>
        <x:v>1359.8108129549626</x:v>
      </x:c>
      <x:c r="J43" s="57" t="n">
        <x:f aca="0">I43*(1-Assumptions!$B$29)+J42</x:f>
        <x:v>1565.9479778768991</x:v>
      </x:c>
      <x:c r="K43" s="57" t="n">
        <x:f aca="0">J43*(1-Assumptions!$B$29)+K42</x:f>
        <x:v>1781.962402371259</x:v>
      </x:c>
      <x:c r="L43" s="57" t="n">
        <x:f aca="0">K43*(1-Assumptions!$B$29)+L42</x:f>
        <x:v>2008.4965414188457</x:v>
      </x:c>
      <x:c r="M43" s="57" t="n">
        <x:f aca="0">L43*(1-Assumptions!$B$29)+M42</x:f>
        <x:v>2246.2304009111813</x:v>
      </x:c>
      <x:c r="N43" s="57" t="n">
        <x:f aca="0">M43*(1-Assumptions!$B$29)+N42</x:f>
        <x:v>2486.157177971688</x:v>
      </x:c>
      <x:c r="O43" s="57" t="n">
        <x:f aca="0">N43*(1-Assumptions!$B$29)+O42</x:f>
        <x:v>2728.4067041179524</x:v>
      </x:c>
      <x:c r="P43" s="57" t="n">
        <x:f aca="0">O43*(1-Assumptions!$B$29)+P42</x:f>
        <x:v>2973.1105564839345</x:v>
      </x:c>
      <x:c r="Q43" s="57" t="n">
        <x:f aca="0">P43*(1-Assumptions!$B$29)+Q42</x:f>
        <x:v>3220.402131463805</x:v>
      </x:c>
      <x:c r="R43" s="57" t="n">
        <x:f aca="0">Q43*(1-Assumptions!$B$29)+R42</x:f>
        <x:v>3470.4167195968166</x:v>
      </x:c>
      <x:c r="S43" s="57" t="n">
        <x:f aca="0">R43*(1-Assumptions!$B$29)+S42</x:f>
        <x:v>3723.2915817362255</x:v>
      </x:c>
      <x:c r="T43" s="57" t="n">
        <x:f aca="0">S43*(1-Assumptions!$B$29)+T42</x:f>
        <x:v>3979.16602654613</x:v>
      </x:c>
      <x:c r="U43" s="57" t="n">
        <x:f aca="0">T43*(1-Assumptions!$B$29)+U42</x:f>
        <x:v>4238.1814893709525</x:v>
      </x:c>
      <x:c r="V43" s="57" t="n">
        <x:f aca="0">U43*(1-Assumptions!$B$29)+V42</x:f>
        <x:v>4500.481612523172</x:v>
      </x:c>
      <x:c r="W43" s="57" t="n">
        <x:f aca="0">V43*(1-Assumptions!$B$29)+W42</x:f>
        <x:v>4766.212327035838</x:v>
      </x:c>
      <x:c r="X43" s="57" t="n">
        <x:f aca="0">W43*(1-Assumptions!$B$29)+X42</x:f>
        <x:v>5035.521935927329</x:v>
      </x:c>
      <x:c r="Y43" s="57" t="n">
        <x:f aca="0">X43*(1-Assumptions!$B$29)+Y42</x:f>
        <x:v>5308.561199026795</x:v>
      </x:c>
      <x:c r="Z43" s="57" t="n">
        <x:f aca="0">M43</x:f>
        <x:v>2246.2304009111813</x:v>
      </x:c>
      <x:c r="AA43" s="57" t="n">
        <x:f aca="0">Y43</x:f>
        <x:v>5308.561199026795</x:v>
      </x:c>
      <x:c r="AB43" s="52"/>
      <x:c r="AC43" s="52"/>
    </x:row>
    <x:row r="44" ht="15" hidden="0">
      <x:c r="A44" s="61" t="s">
        <x:v>179</x:v>
      </x:c>
      <x:c r="B44" s="62" t="n">
        <x:f aca="0">SUM(B37,B43)</x:f>
        <x:v>146.39625</x:v>
      </x:c>
      <x:c r="C44" s="62" t="n">
        <x:f aca="0">SUM(C37,C43)</x:f>
        <x:v>298.64835</x:v>
      </x:c>
      <x:c r="D44" s="62" t="n">
        <x:f aca="0">SUM(D37,D43)</x:f>
        <x:v>457.16620950000004</x:v>
      </x:c>
      <x:c r="E44" s="62" t="n">
        <x:f aca="0">SUM(E37,E43)</x:f>
        <x:v>666.6237864000001</x:v>
      </x:c>
      <x:c r="F44" s="62" t="n">
        <x:f aca="0">SUM(F37,F43)</x:f>
        <x:v>927.0368595774</x:v>
      </x:c>
      <x:c r="G44" s="62" t="n">
        <x:f aca="0">SUM(G37,G43)</x:f>
        <x:v>1238.593568288076</x:v>
      </x:c>
      <x:c r="H44" s="62" t="n">
        <x:f aca="0">SUM(H37,H43)</x:f>
        <x:v>1601.655795438047</x:v>
      </x:c>
      <x:c r="I44" s="62" t="n">
        <x:f aca="0">SUM(I37,I43)</x:f>
        <x:v>2016.7610895223688</x:v>
      </x:c>
      <x:c r="J44" s="62" t="n">
        <x:f aca="0">SUM(J37,J43)</x:f>
        <x:v>2484.625134612675</x:v>
      </x:c>
      <x:c r="K44" s="62" t="n">
        <x:f aca="0">SUM(K37,K43)</x:f>
        <x:v>3006.144779487702</x:v>
      </x:c>
      <x:c r="L44" s="62" t="n">
        <x:f aca="0">SUM(L37,L43)</x:f>
        <x:v>3582.401638759263</x:v>
      </x:c>
      <x:c r="M44" s="62" t="n">
        <x:f aca="0">SUM(M37,M43)</x:f>
        <x:v>4214.6662806550685</x:v>
      </x:c>
      <x:c r="N44" s="62" t="n">
        <x:f aca="0">SUM(N37,N43)</x:f>
        <x:v>4894.676385324092</x:v>
      </x:c>
      <x:c r="O44" s="62" t="n">
        <x:f aca="0">SUM(O37,O43)</x:f>
        <x:v>5623.463191641398</x:v>
      </x:c>
      <x:c r="P44" s="62" t="n">
        <x:f aca="0">SUM(P37,P43)</x:f>
        <x:v>6402.220110016455</x:v>
      </x:c>
      <x:c r="Q44" s="62" t="n">
        <x:f aca="0">SUM(Q37,Q43)</x:f>
        <x:v>7229.367442421033</x:v>
      </x:c>
      <x:c r="R44" s="62" t="n">
        <x:f aca="0">SUM(R37,R43)</x:f>
        <x:v>8103.452274492378</x:v>
      </x:c>
      <x:c r="S44" s="62" t="n">
        <x:f aca="0">SUM(S37,S43)</x:f>
        <x:v>9023.142834747538</x:v>
      </x:c>
      <x:c r="T44" s="62" t="n">
        <x:f aca="0">SUM(T37,T43)</x:f>
        <x:v>9987.223163228356</x:v>
      </x:c>
      <x:c r="U44" s="62" t="n">
        <x:f aca="0">SUM(U37,U43)</x:f>
        <x:v>10994.588074591731</x:v>
      </x:c>
      <x:c r="V44" s="62" t="n">
        <x:f aca="0">SUM(V37,V43)</x:f>
        <x:v>12044.238401425178</x:v>
      </x:c>
      <x:c r="W44" s="62" t="n">
        <x:f aca="0">SUM(W37,W43)</x:f>
        <x:v>13135.276504295147</x:v>
      </x:c>
      <x:c r="X44" s="62" t="n">
        <x:f aca="0">SUM(X37,X43)</x:f>
        <x:v>14266.90203572698</x:v>
      </x:c>
      <x:c r="Y44" s="62" t="n">
        <x:f aca="0">SUM(Y37,Y43)</x:f>
        <x:v>15438.407945972587</x:v>
      </x:c>
      <x:c r="Z44" s="62" t="n">
        <x:f aca="0">M44</x:f>
        <x:v>4214.6662806550685</x:v>
      </x:c>
      <x:c r="AA44" s="62" t="n">
        <x:f aca="0">Y44</x:f>
        <x:v>15438.407945972587</x:v>
      </x:c>
      <x:c r="AB44" s="52"/>
      <x:c r="AC44" s="52"/>
    </x:row>
    <x:row r="45" ht="15" hidden="0">
      <x:c r="A45" s="56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  <x:c r="AA45" s="57"/>
      <x:c r="AB45" s="52"/>
      <x:c r="AC45" s="52"/>
    </x:row>
    <x:row r="46" ht="15" hidden="0">
      <x:c r="A46" s="58" t="s">
        <x:v>180</x:v>
      </x:c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  <x:c r="P46" s="58"/>
      <x:c r="Q46" s="58"/>
      <x:c r="R46" s="58"/>
      <x:c r="S46" s="58"/>
      <x:c r="T46" s="58"/>
      <x:c r="U46" s="58"/>
      <x:c r="V46" s="58"/>
      <x:c r="W46" s="58"/>
      <x:c r="X46" s="58"/>
      <x:c r="Y46" s="58"/>
      <x:c r="Z46" s="58"/>
      <x:c r="AA46" s="58"/>
      <x:c r="AB46" s="59"/>
      <x:c r="AC46" s="59"/>
    </x:row>
    <x:row r="47" ht="15" hidden="0">
      <x:c r="A47" s="63" t="s">
        <x:v>21</x:v>
      </x:c>
      <x:c r="B47" s="64" t="n">
        <x:f aca="0">IFERROR(B24/B23,0)</x:f>
        <x:v>0.25</x:v>
      </x:c>
      <x:c r="C47" s="64" t="n">
        <x:f aca="0">IFERROR(C24/C23,0)</x:f>
        <x:v>0.25</x:v>
      </x:c>
      <x:c r="D47" s="64" t="n">
        <x:f aca="0">IFERROR(D24/D23,0)</x:f>
        <x:v>0.25</x:v>
      </x:c>
      <x:c r="E47" s="64" t="n">
        <x:f aca="0">IFERROR(E24/E23,0)</x:f>
        <x:v>0.25</x:v>
      </x:c>
      <x:c r="F47" s="64" t="n">
        <x:f aca="0">IFERROR(F24/F23,0)</x:f>
        <x:v>0.25</x:v>
      </x:c>
      <x:c r="G47" s="64" t="n">
        <x:f aca="0">IFERROR(G24/G23,0)</x:f>
        <x:v>0.25</x:v>
      </x:c>
      <x:c r="H47" s="64" t="n">
        <x:f aca="0">IFERROR(H24/H23,0)</x:f>
        <x:v>0.25</x:v>
      </x:c>
      <x:c r="I47" s="64" t="n">
        <x:f aca="0">IFERROR(I24/I23,0)</x:f>
        <x:v>0.25</x:v>
      </x:c>
      <x:c r="J47" s="64" t="n">
        <x:f aca="0">IFERROR(J24/J23,0)</x:f>
        <x:v>0.25</x:v>
      </x:c>
      <x:c r="K47" s="64" t="n">
        <x:f aca="0">IFERROR(K24/K23,0)</x:f>
        <x:v>0.25</x:v>
      </x:c>
      <x:c r="L47" s="64" t="n">
        <x:f aca="0">IFERROR(L24/L23,0)</x:f>
        <x:v>0.25</x:v>
      </x:c>
      <x:c r="M47" s="64" t="n">
        <x:f aca="0">IFERROR(M24/M23,0)</x:f>
        <x:v>0.25</x:v>
      </x:c>
      <x:c r="N47" s="64" t="n">
        <x:f aca="0">IFERROR(N24/N23,0)</x:f>
        <x:v>0.25</x:v>
      </x:c>
      <x:c r="O47" s="64" t="n">
        <x:f aca="0">IFERROR(O24/O23,0)</x:f>
        <x:v>0.25</x:v>
      </x:c>
      <x:c r="P47" s="64" t="n">
        <x:f aca="0">IFERROR(P24/P23,0)</x:f>
        <x:v>0.25</x:v>
      </x:c>
      <x:c r="Q47" s="64" t="n">
        <x:f aca="0">IFERROR(Q24/Q23,0)</x:f>
        <x:v>0.25</x:v>
      </x:c>
      <x:c r="R47" s="64" t="n">
        <x:f aca="0">IFERROR(R24/R23,0)</x:f>
        <x:v>0.25</x:v>
      </x:c>
      <x:c r="S47" s="64" t="n">
        <x:f aca="0">IFERROR(S24/S23,0)</x:f>
        <x:v>0.25</x:v>
      </x:c>
      <x:c r="T47" s="64" t="n">
        <x:f aca="0">IFERROR(T24/T23,0)</x:f>
        <x:v>0.25</x:v>
      </x:c>
      <x:c r="U47" s="64" t="n">
        <x:f aca="0">IFERROR(U24/U23,0)</x:f>
        <x:v>0.25</x:v>
      </x:c>
      <x:c r="V47" s="64" t="n">
        <x:f aca="0">IFERROR(V24/V23,0)</x:f>
        <x:v>0.25</x:v>
      </x:c>
      <x:c r="W47" s="64" t="n">
        <x:f aca="0">IFERROR(W24/W23,0)</x:f>
        <x:v>0.25</x:v>
      </x:c>
      <x:c r="X47" s="64" t="n">
        <x:f aca="0">IFERROR(X24/X23,0)</x:f>
        <x:v>0.25</x:v>
      </x:c>
      <x:c r="Y47" s="64" t="n">
        <x:f aca="0">IFERROR(Y24/Y23,0)</x:f>
        <x:v>0.25</x:v>
      </x:c>
      <x:c r="Z47" s="65" t="n">
        <x:f aca="0">AVERAGE(B47:M47)</x:f>
        <x:v>0.25</x:v>
      </x:c>
      <x:c r="AA47" s="65" t="n">
        <x:f aca="0">AVERAGE(N47:Y47)</x:f>
        <x:v>0.25</x:v>
      </x:c>
      <x:c r="AB47" s="52"/>
      <x:c r="AC47" s="52"/>
    </x:row>
    <x:row r="48" ht="15" hidden="0">
      <x:c r="A48" s="63" t="s">
        <x:v>23</x:v>
      </x:c>
      <x:c r="B48" s="64" t="n">
        <x:f aca="0">IFERROR(B25/B24,0)</x:f>
        <x:v>0.5</x:v>
      </x:c>
      <x:c r="C48" s="64" t="n">
        <x:f aca="0">IFERROR(C25/C24,0)</x:f>
        <x:v>0.5</x:v>
      </x:c>
      <x:c r="D48" s="64" t="n">
        <x:f aca="0">IFERROR(D25/D24,0)</x:f>
        <x:v>0.5</x:v>
      </x:c>
      <x:c r="E48" s="64" t="n">
        <x:f aca="0">IFERROR(E25/E24,0)</x:f>
        <x:v>0.5</x:v>
      </x:c>
      <x:c r="F48" s="64" t="n">
        <x:f aca="0">IFERROR(F25/F24,0)</x:f>
        <x:v>0.5</x:v>
      </x:c>
      <x:c r="G48" s="64" t="n">
        <x:f aca="0">IFERROR(G25/G24,0)</x:f>
        <x:v>0.5</x:v>
      </x:c>
      <x:c r="H48" s="64" t="n">
        <x:f aca="0">IFERROR(H25/H24,0)</x:f>
        <x:v>0.5</x:v>
      </x:c>
      <x:c r="I48" s="64" t="n">
        <x:f aca="0">IFERROR(I25/I24,0)</x:f>
        <x:v>0.5</x:v>
      </x:c>
      <x:c r="J48" s="64" t="n">
        <x:f aca="0">IFERROR(J25/J24,0)</x:f>
        <x:v>0.5</x:v>
      </x:c>
      <x:c r="K48" s="64" t="n">
        <x:f aca="0">IFERROR(K25/K24,0)</x:f>
        <x:v>0.5</x:v>
      </x:c>
      <x:c r="L48" s="64" t="n">
        <x:f aca="0">IFERROR(L25/L24,0)</x:f>
        <x:v>0.5</x:v>
      </x:c>
      <x:c r="M48" s="64" t="n">
        <x:f aca="0">IFERROR(M25/M24,0)</x:f>
        <x:v>0.5</x:v>
      </x:c>
      <x:c r="N48" s="64" t="n">
        <x:f aca="0">IFERROR(N25/N24,0)</x:f>
        <x:v>0.5</x:v>
      </x:c>
      <x:c r="O48" s="64" t="n">
        <x:f aca="0">IFERROR(O25/O24,0)</x:f>
        <x:v>0.5</x:v>
      </x:c>
      <x:c r="P48" s="64" t="n">
        <x:f aca="0">IFERROR(P25/P24,0)</x:f>
        <x:v>0.5</x:v>
      </x:c>
      <x:c r="Q48" s="64" t="n">
        <x:f aca="0">IFERROR(Q25/Q24,0)</x:f>
        <x:v>0.5</x:v>
      </x:c>
      <x:c r="R48" s="64" t="n">
        <x:f aca="0">IFERROR(R25/R24,0)</x:f>
        <x:v>0.5</x:v>
      </x:c>
      <x:c r="S48" s="64" t="n">
        <x:f aca="0">IFERROR(S25/S24,0)</x:f>
        <x:v>0.5</x:v>
      </x:c>
      <x:c r="T48" s="64" t="n">
        <x:f aca="0">IFERROR(T25/T24,0)</x:f>
        <x:v>0.5</x:v>
      </x:c>
      <x:c r="U48" s="64" t="n">
        <x:f aca="0">IFERROR(U25/U24,0)</x:f>
        <x:v>0.5</x:v>
      </x:c>
      <x:c r="V48" s="64" t="n">
        <x:f aca="0">IFERROR(V25/V24,0)</x:f>
        <x:v>0.5</x:v>
      </x:c>
      <x:c r="W48" s="64" t="n">
        <x:f aca="0">IFERROR(W25/W24,0)</x:f>
        <x:v>0.5</x:v>
      </x:c>
      <x:c r="X48" s="64" t="n">
        <x:f aca="0">IFERROR(X25/X24,0)</x:f>
        <x:v>0.5</x:v>
      </x:c>
      <x:c r="Y48" s="64" t="n">
        <x:f aca="0">IFERROR(Y25/Y24,0)</x:f>
        <x:v>0.5</x:v>
      </x:c>
      <x:c r="Z48" s="65" t="n">
        <x:f aca="0">AVERAGE(B48:M48)</x:f>
        <x:v>0.5</x:v>
      </x:c>
      <x:c r="AA48" s="65" t="n">
        <x:f aca="0">AVERAGE(N48:Y48)</x:f>
        <x:v>0.5</x:v>
      </x:c>
      <x:c r="AB48" s="52"/>
      <x:c r="AC48" s="52"/>
    </x:row>
    <x:row r="49" ht="15" hidden="0">
      <x:c r="A49" s="63" t="s">
        <x:v>24</x:v>
      </x:c>
      <x:c r="B49" s="64" t="n">
        <x:f aca="0">IFERROR(B26/B25,0)</x:f>
        <x:v>0.1</x:v>
      </x:c>
      <x:c r="C49" s="64" t="n">
        <x:f aca="0">IFERROR(C26/C25,0)</x:f>
        <x:v>0.09999999999999999</x:v>
      </x:c>
      <x:c r="D49" s="64" t="n">
        <x:f aca="0">IFERROR(D26/D25,0)</x:f>
        <x:v>0.1</x:v>
      </x:c>
      <x:c r="E49" s="64" t="n">
        <x:f aca="0">IFERROR(E26/E25,0)</x:f>
        <x:v>0.09999999999999999</x:v>
      </x:c>
      <x:c r="F49" s="64" t="n">
        <x:f aca="0">IFERROR(F26/F25,0)</x:f>
        <x:v>0.1</x:v>
      </x:c>
      <x:c r="G49" s="64" t="n">
        <x:f aca="0">IFERROR(G26/G25,0)</x:f>
        <x:v>0.1</x:v>
      </x:c>
      <x:c r="H49" s="64" t="n">
        <x:f aca="0">IFERROR(H26/H25,0)</x:f>
        <x:v>0.1</x:v>
      </x:c>
      <x:c r="I49" s="64" t="n">
        <x:f aca="0">IFERROR(I26/I25,0)</x:f>
        <x:v>0.1</x:v>
      </x:c>
      <x:c r="J49" s="64" t="n">
        <x:f aca="0">IFERROR(J26/J25,0)</x:f>
        <x:v>0.1</x:v>
      </x:c>
      <x:c r="K49" s="64" t="n">
        <x:f aca="0">IFERROR(K26/K25,0)</x:f>
        <x:v>0.1</x:v>
      </x:c>
      <x:c r="L49" s="64" t="n">
        <x:f aca="0">IFERROR(L26/L25,0)</x:f>
        <x:v>0.1</x:v>
      </x:c>
      <x:c r="M49" s="64" t="n">
        <x:f aca="0">IFERROR(M26/M25,0)</x:f>
        <x:v>0.1</x:v>
      </x:c>
      <x:c r="N49" s="64" t="n">
        <x:f aca="0">IFERROR(N26/N25,0)</x:f>
        <x:v>0.1</x:v>
      </x:c>
      <x:c r="O49" s="64" t="n">
        <x:f aca="0">IFERROR(O26/O25,0)</x:f>
        <x:v>0.10000000000000002</x:v>
      </x:c>
      <x:c r="P49" s="64" t="n">
        <x:f aca="0">IFERROR(P26/P25,0)</x:f>
        <x:v>0.09999999999999999</x:v>
      </x:c>
      <x:c r="Q49" s="64" t="n">
        <x:f aca="0">IFERROR(Q26/Q25,0)</x:f>
        <x:v>0.1</x:v>
      </x:c>
      <x:c r="R49" s="64" t="n">
        <x:f aca="0">IFERROR(R26/R25,0)</x:f>
        <x:v>0.1</x:v>
      </x:c>
      <x:c r="S49" s="64" t="n">
        <x:f aca="0">IFERROR(S26/S25,0)</x:f>
        <x:v>0.10000000000000002</x:v>
      </x:c>
      <x:c r="T49" s="64" t="n">
        <x:f aca="0">IFERROR(T26/T25,0)</x:f>
        <x:v>0.1</x:v>
      </x:c>
      <x:c r="U49" s="64" t="n">
        <x:f aca="0">IFERROR(U26/U25,0)</x:f>
        <x:v>0.1</x:v>
      </x:c>
      <x:c r="V49" s="64" t="n">
        <x:f aca="0">IFERROR(V26/V25,0)</x:f>
        <x:v>0.1</x:v>
      </x:c>
      <x:c r="W49" s="64" t="n">
        <x:f aca="0">IFERROR(W26/W25,0)</x:f>
        <x:v>0.1</x:v>
      </x:c>
      <x:c r="X49" s="64" t="n">
        <x:f aca="0">IFERROR(X26/X25,0)</x:f>
        <x:v>0.1</x:v>
      </x:c>
      <x:c r="Y49" s="64" t="n">
        <x:f aca="0">IFERROR(Y26/Y25,0)</x:f>
        <x:v>0.1</x:v>
      </x:c>
      <x:c r="Z49" s="65" t="n">
        <x:f aca="0">AVERAGE(B49:M49)</x:f>
        <x:v>0.09999999999999999</x:v>
      </x:c>
      <x:c r="AA49" s="65" t="n">
        <x:f aca="0">AVERAGE(N49:Y49)</x:f>
        <x:v>0.09999999999999999</x:v>
      </x:c>
      <x:c r="AB49" s="52"/>
      <x:c r="AC49" s="52"/>
    </x:row>
    <x:row r="50" ht="15" hidden="0">
      <x:c r="A50" s="63" t="s">
        <x:v>181</x:v>
      </x:c>
      <x:c r="B50" s="64" t="n">
        <x:f aca="0">IFERROR(B30/B29,0)</x:f>
        <x:v>0</x:v>
      </x:c>
      <x:c r="C50" s="64" t="n">
        <x:f aca="0">IFERROR(C30/C29,0)</x:f>
        <x:v>0</x:v>
      </x:c>
      <x:c r="D50" s="64" t="n">
        <x:f aca="0">IFERROR(D30/D29,0)</x:f>
        <x:v>0</x:v>
      </x:c>
      <x:c r="E50" s="64" t="n">
        <x:f aca="0">IFERROR(E30/E29,0)</x:f>
        <x:v>0.3</x:v>
      </x:c>
      <x:c r="F50" s="64" t="n">
        <x:f aca="0">IFERROR(F30/F29,0)</x:f>
        <x:v>0.3</x:v>
      </x:c>
      <x:c r="G50" s="64" t="n">
        <x:f aca="0">IFERROR(G30/G29,0)</x:f>
        <x:v>0.3</x:v>
      </x:c>
      <x:c r="H50" s="64" t="n">
        <x:f aca="0">IFERROR(H30/H29,0)</x:f>
        <x:v>0.3</x:v>
      </x:c>
      <x:c r="I50" s="64" t="n">
        <x:f aca="0">IFERROR(I30/I29,0)</x:f>
        <x:v>0.3</x:v>
      </x:c>
      <x:c r="J50" s="64" t="n">
        <x:f aca="0">IFERROR(J30/J29,0)</x:f>
        <x:v>0.3</x:v>
      </x:c>
      <x:c r="K50" s="64" t="n">
        <x:f aca="0">IFERROR(K30/K29,0)</x:f>
        <x:v>0.3</x:v>
      </x:c>
      <x:c r="L50" s="64" t="n">
        <x:f aca="0">IFERROR(L30/L29,0)</x:f>
        <x:v>0.3</x:v>
      </x:c>
      <x:c r="M50" s="64" t="n">
        <x:f aca="0">IFERROR(M30/M29,0)</x:f>
        <x:v>0.3</x:v>
      </x:c>
      <x:c r="N50" s="64" t="n">
        <x:f aca="0">IFERROR(N30/N29,0)</x:f>
        <x:v>0.3</x:v>
      </x:c>
      <x:c r="O50" s="64" t="n">
        <x:f aca="0">IFERROR(O30/O29,0)</x:f>
        <x:v>0.3</x:v>
      </x:c>
      <x:c r="P50" s="64" t="n">
        <x:f aca="0">IFERROR(P30/P29,0)</x:f>
        <x:v>0.3</x:v>
      </x:c>
      <x:c r="Q50" s="64" t="n">
        <x:f aca="0">IFERROR(Q30/Q29,0)</x:f>
        <x:v>0.3</x:v>
      </x:c>
      <x:c r="R50" s="64" t="n">
        <x:f aca="0">IFERROR(R30/R29,0)</x:f>
        <x:v>0.3</x:v>
      </x:c>
      <x:c r="S50" s="64" t="n">
        <x:f aca="0">IFERROR(S30/S29,0)</x:f>
        <x:v>0.3</x:v>
      </x:c>
      <x:c r="T50" s="64" t="n">
        <x:f aca="0">IFERROR(T30/T29,0)</x:f>
        <x:v>0.3</x:v>
      </x:c>
      <x:c r="U50" s="64" t="n">
        <x:f aca="0">IFERROR(U30/U29,0)</x:f>
        <x:v>0.3</x:v>
      </x:c>
      <x:c r="V50" s="64" t="n">
        <x:f aca="0">IFERROR(V30/V29,0)</x:f>
        <x:v>0.3</x:v>
      </x:c>
      <x:c r="W50" s="64" t="n">
        <x:f aca="0">IFERROR(W30/W29,0)</x:f>
        <x:v>0.3</x:v>
      </x:c>
      <x:c r="X50" s="64" t="n">
        <x:f aca="0">IFERROR(X30/X29,0)</x:f>
        <x:v>0.3</x:v>
      </x:c>
      <x:c r="Y50" s="64" t="n">
        <x:f aca="0">IFERROR(Y30/Y29,0)</x:f>
        <x:v>0.3</x:v>
      </x:c>
      <x:c r="Z50" s="65" t="n">
        <x:f aca="0">AVERAGE(B50:M50)</x:f>
        <x:v>0.22499999999999998</x:v>
      </x:c>
      <x:c r="AA50" s="65" t="n">
        <x:f aca="0">AVERAGE(N50:Y50)</x:f>
        <x:v>0.29999999999999993</x:v>
      </x:c>
      <x:c r="AB50" s="52"/>
      <x:c r="AC50" s="52"/>
    </x:row>
    <x:row r="51" ht="15" hidden="0">
      <x:c r="A51" s="63" t="s">
        <x:v>29</x:v>
      </x:c>
      <x:c r="B51" s="64" t="n">
        <x:f aca="0">IFERROR(B35/B30,0)</x:f>
        <x:v>0</x:v>
      </x:c>
      <x:c r="C51" s="64" t="n">
        <x:f aca="0">IFERROR(C35/C30,0)</x:f>
        <x:v>0</x:v>
      </x:c>
      <x:c r="D51" s="64" t="n">
        <x:f aca="0">IFERROR(D35/D30,0)</x:f>
        <x:v>0</x:v>
      </x:c>
      <x:c r="E51" s="64" t="n">
        <x:f aca="0">IFERROR(E35/E30,0)</x:f>
        <x:v>0.55</x:v>
      </x:c>
      <x:c r="F51" s="64" t="n">
        <x:f aca="0">IFERROR(F35/F30,0)</x:f>
        <x:v>0.55</x:v>
      </x:c>
      <x:c r="G51" s="64" t="n">
        <x:f aca="0">IFERROR(G35/G30,0)</x:f>
        <x:v>0.55</x:v>
      </x:c>
      <x:c r="H51" s="64" t="n">
        <x:f aca="0">IFERROR(H35/H30,0)</x:f>
        <x:v>0.55</x:v>
      </x:c>
      <x:c r="I51" s="64" t="n">
        <x:f aca="0">IFERROR(I35/I30,0)</x:f>
        <x:v>0.55</x:v>
      </x:c>
      <x:c r="J51" s="64" t="n">
        <x:f aca="0">IFERROR(J35/J30,0)</x:f>
        <x:v>0.55</x:v>
      </x:c>
      <x:c r="K51" s="64" t="n">
        <x:f aca="0">IFERROR(K35/K30,0)</x:f>
        <x:v>0.55</x:v>
      </x:c>
      <x:c r="L51" s="64" t="n">
        <x:f aca="0">IFERROR(L35/L30,0)</x:f>
        <x:v>0.55</x:v>
      </x:c>
      <x:c r="M51" s="64" t="n">
        <x:f aca="0">IFERROR(M35/M30,0)</x:f>
        <x:v>0.55</x:v>
      </x:c>
      <x:c r="N51" s="64" t="n">
        <x:f aca="0">IFERROR(N35/N30,0)</x:f>
        <x:v>0.55</x:v>
      </x:c>
      <x:c r="O51" s="64" t="n">
        <x:f aca="0">IFERROR(O35/O30,0)</x:f>
        <x:v>0.55</x:v>
      </x:c>
      <x:c r="P51" s="64" t="n">
        <x:f aca="0">IFERROR(P35/P30,0)</x:f>
        <x:v>0.55</x:v>
      </x:c>
      <x:c r="Q51" s="64" t="n">
        <x:f aca="0">IFERROR(Q35/Q30,0)</x:f>
        <x:v>0.55</x:v>
      </x:c>
      <x:c r="R51" s="64" t="n">
        <x:f aca="0">IFERROR(R35/R30,0)</x:f>
        <x:v>0.55</x:v>
      </x:c>
      <x:c r="S51" s="64" t="n">
        <x:f aca="0">IFERROR(S35/S30,0)</x:f>
        <x:v>0.55</x:v>
      </x:c>
      <x:c r="T51" s="64" t="n">
        <x:f aca="0">IFERROR(T35/T30,0)</x:f>
        <x:v>0.55</x:v>
      </x:c>
      <x:c r="U51" s="64" t="n">
        <x:f aca="0">IFERROR(U35/U30,0)</x:f>
        <x:v>0.55</x:v>
      </x:c>
      <x:c r="V51" s="64" t="n">
        <x:f aca="0">IFERROR(V35/V30,0)</x:f>
        <x:v>0.55</x:v>
      </x:c>
      <x:c r="W51" s="64" t="n">
        <x:f aca="0">IFERROR(W35/W30,0)</x:f>
        <x:v>0.55</x:v>
      </x:c>
      <x:c r="X51" s="64" t="n">
        <x:f aca="0">IFERROR(X35/X30,0)</x:f>
        <x:v>0.55</x:v>
      </x:c>
      <x:c r="Y51" s="64" t="n">
        <x:f aca="0">IFERROR(Y35/Y30,0)</x:f>
        <x:v>0.55</x:v>
      </x:c>
      <x:c r="Z51" s="65" t="n">
        <x:f aca="0">AVERAGE(B51:M51)</x:f>
        <x:v>0.4124999999999999</x:v>
      </x:c>
      <x:c r="AA51" s="65" t="n">
        <x:f aca="0">AVERAGE(N51:Y51)</x:f>
        <x:v>0.5499999999999999</x:v>
      </x:c>
      <x:c r="AB51" s="52"/>
      <x:c r="AC51" s="52"/>
    </x:row>
    <x:row r="52" ht="15" hidden="0">
      <x:c r="A52" s="63" t="s">
        <x:v>182</x:v>
      </x:c>
      <x:c r="B52" s="64" t="n">
        <x:f aca="0">IFERROR(B44/B15,0)</x:f>
        <x:v>0.10237500000000001</x:v>
      </x:c>
      <x:c r="C52" s="64" t="n">
        <x:f aca="0">IFERROR(C44/C15,0)</x:f>
        <x:v>0.19702358490566038</x:v>
      </x:c>
      <x:c r="D52" s="64" t="n">
        <x:f aca="0">IFERROR(D44/D15,0)</x:f>
        <x:v>0.2845288803844785</x:v>
      </x:c>
      <x:c r="E52" s="64" t="n">
        <x:f aca="0">IFERROR(E44/E15,0)</x:f>
        <x:v>0.391405724188424</x:v>
      </x:c>
      <x:c r="F52" s="64" t="n">
        <x:f aca="0">IFERROR(F44/F15,0)</x:f>
        <x:v>0.5134965189226106</x:v>
      </x:c>
      <x:c r="G52" s="64" t="n">
        <x:f aca="0">IFERROR(G44/G15,0)</x:f>
        <x:v>0.647237179554264</x:v>
      </x:c>
      <x:c r="H52" s="64" t="n">
        <x:f aca="0">IFERROR(H44/H15,0)</x:f>
        <x:v>0.7895833112939479</x:v>
      </x:c>
      <x:c r="I52" s="64" t="n">
        <x:f aca="0">IFERROR(I44/I15,0)</x:f>
        <x:v>0.937944971373136</x:v>
      </x:c>
      <x:c r="J52" s="64" t="n">
        <x:f aca="0">IFERROR(J44/J15,0)</x:f>
        <x:v>1.0901290542677227</x:v>
      </x:c>
      <x:c r="K52" s="64" t="n">
        <x:f aca="0">IFERROR(K44/K15,0)</x:f>
        <x:v>1.2442884448444596</x:v>
      </x:c>
      <x:c r="L52" s="64" t="n">
        <x:f aca="0">IFERROR(L44/L15,0)</x:f>
        <x:v>1.398877177549183</x:v>
      </x:c>
      <x:c r="M52" s="64" t="n">
        <x:f aca="0">IFERROR(M44/M15,0)</x:f>
        <x:v>1.5526109233131395</x:v>
      </x:c>
      <x:c r="N52" s="64" t="n">
        <x:f aca="0">IFERROR(N44/N15,0)</x:f>
        <x:v>1.7591365926097091</x:v>
      </x:c>
      <x:c r="O52" s="64" t="n">
        <x:f aca="0">IFERROR(O44/O15,0)</x:f>
        <x:v>1.971766894567844</x:v>
      </x:c>
      <x:c r="P52" s="64" t="n">
        <x:f aca="0">IFERROR(P44/P15,0)</x:f>
        <x:v>2.1900722868896767</x:v>
      </x:c>
      <x:c r="Q52" s="64" t="n">
        <x:f aca="0">IFERROR(Q44/Q15,0)</x:f>
        <x:v>2.4127053207863014</x:v>
      </x:c>
      <x:c r="R52" s="64" t="n">
        <x:f aca="0">IFERROR(R44/R15,0)</x:f>
        <x:v>2.6384580670605406</x:v>
      </x:c>
      <x:c r="S52" s="64" t="n">
        <x:f aca="0">IFERROR(S44/S15,0)</x:f>
        <x:v>2.866250110614859</x:v>
      </x:c>
      <x:c r="T52" s="64" t="n">
        <x:f aca="0">IFERROR(T44/T15,0)</x:f>
        <x:v>3.095117502291255</x:v>
      </x:c>
      <x:c r="U52" s="64" t="n">
        <x:f aca="0">IFERROR(U44/U15,0)</x:f>
        <x:v>3.3242025945313602</x:v>
      </x:c>
      <x:c r="V52" s="64" t="n">
        <x:f aca="0">IFERROR(V44/V15,0)</x:f>
        <x:v>3.5527446928759296</x:v>
      </x:c>
      <x:c r="W52" s="64" t="n">
        <x:f aca="0">IFERROR(W44/W15,0)</x:f>
        <x:v>3.7800714604424788</x:v>
      </x:c>
      <x:c r="X52" s="64" t="n">
        <x:f aca="0">IFERROR(X44/X15,0)</x:f>
        <x:v>4.005591017258404</x:v>
      </x:c>
      <x:c r="Y52" s="64" t="n">
        <x:f aca="0">IFERROR(Y44/Y15,0)</x:f>
        <x:v>4.22878468071268</x:v>
      </x:c>
      <x:c r="Z52" s="65" t="n">
        <x:f aca="0">AVERAGE(B52:M52)</x:f>
        <x:v>0.7624583975497522</x:v>
      </x:c>
      <x:c r="AA52" s="65" t="n">
        <x:f aca="0">AVERAGE(N52:Y52)</x:f>
        <x:v>2.98540843505342</x:v>
      </x:c>
      <x:c r="AB52" s="52"/>
      <x:c r="AC52" s="52"/>
    </x:row>
    <x:row r="53" ht="15" hidden="0">
      <x:c r="A53" s="63"/>
      <x:c r="B53" s="65" t="n">
        <x:f aca="0">IFERROR(B44/B15,0)</x:f>
        <x:v>0.10237500000000001</x:v>
      </x:c>
      <x:c r="C53" s="65" t="n">
        <x:f aca="0">IFERROR(C44/C15,0)</x:f>
        <x:v>0.19702358490566038</x:v>
      </x:c>
      <x:c r="D53" s="65" t="n">
        <x:f aca="0">IFERROR(D44/D15,0)</x:f>
        <x:v>0.2845288803844785</x:v>
      </x:c>
      <x:c r="E53" s="65" t="n">
        <x:f aca="0">IFERROR(E44/E15,0)</x:f>
        <x:v>0.391405724188424</x:v>
      </x:c>
      <x:c r="F53" s="65" t="n">
        <x:f aca="0">IFERROR(F44/F15,0)</x:f>
        <x:v>0.5134965189226106</x:v>
      </x:c>
      <x:c r="G53" s="65" t="n">
        <x:f aca="0">IFERROR(G44/G15,0)</x:f>
        <x:v>0.647237179554264</x:v>
      </x:c>
      <x:c r="H53" s="65" t="n">
        <x:f aca="0">IFERROR(H44/H15,0)</x:f>
        <x:v>0.7895833112939479</x:v>
      </x:c>
      <x:c r="I53" s="65" t="n">
        <x:f aca="0">IFERROR(I44/I15,0)</x:f>
        <x:v>0.937944971373136</x:v>
      </x:c>
      <x:c r="J53" s="65" t="n">
        <x:f aca="0">IFERROR(J44/J15,0)</x:f>
        <x:v>1.0901290542677227</x:v>
      </x:c>
      <x:c r="K53" s="65" t="n">
        <x:f aca="0">IFERROR(K44/K15,0)</x:f>
        <x:v>1.2442884448444596</x:v>
      </x:c>
      <x:c r="L53" s="65" t="n">
        <x:f aca="0">IFERROR(L44/L15,0)</x:f>
        <x:v>1.398877177549183</x:v>
      </x:c>
      <x:c r="M53" s="65" t="n">
        <x:f aca="0">IFERROR(M44/M15,0)</x:f>
        <x:v>1.5526109233131395</x:v>
      </x:c>
      <x:c r="N53" s="65" t="n">
        <x:f aca="0">IFERROR(N44/N15,0)</x:f>
        <x:v>1.7591365926097091</x:v>
      </x:c>
      <x:c r="O53" s="65" t="n">
        <x:f aca="0">IFERROR(O44/O15,0)</x:f>
        <x:v>1.971766894567844</x:v>
      </x:c>
      <x:c r="P53" s="65" t="n">
        <x:f aca="0">IFERROR(P44/P15,0)</x:f>
        <x:v>2.1900722868896767</x:v>
      </x:c>
      <x:c r="Q53" s="65" t="n">
        <x:f aca="0">IFERROR(Q44/Q15,0)</x:f>
        <x:v>2.4127053207863014</x:v>
      </x:c>
      <x:c r="R53" s="65" t="n">
        <x:f aca="0">IFERROR(R44/R15,0)</x:f>
        <x:v>2.6384580670605406</x:v>
      </x:c>
      <x:c r="S53" s="65" t="n">
        <x:f aca="0">IFERROR(S44/S15,0)</x:f>
        <x:v>2.866250110614859</x:v>
      </x:c>
      <x:c r="T53" s="65" t="n">
        <x:f aca="0">IFERROR(T44/T15,0)</x:f>
        <x:v>3.095117502291255</x:v>
      </x:c>
      <x:c r="U53" s="65" t="n">
        <x:f aca="0">IFERROR(U44/U15,0)</x:f>
        <x:v>3.3242025945313602</x:v>
      </x:c>
      <x:c r="V53" s="65" t="n">
        <x:f aca="0">IFERROR(V44/V15,0)</x:f>
        <x:v>3.5527446928759296</x:v>
      </x:c>
      <x:c r="W53" s="65" t="n">
        <x:f aca="0">IFERROR(W44/W15,0)</x:f>
        <x:v>3.7800714604424788</x:v>
      </x:c>
      <x:c r="X53" s="65" t="n">
        <x:f aca="0">IFERROR(X44/X15,0)</x:f>
        <x:v>4.005591017258404</x:v>
      </x:c>
      <x:c r="Y53" s="65" t="n">
        <x:f aca="0">IFERROR(Y44/Y15,0)</x:f>
        <x:v>4.22878468071268</x:v>
      </x:c>
      <x:c r="Z53" s="65" t="n">
        <x:f aca="0">AVERAGE(B53:M53)</x:f>
        <x:v>0.7624583975497522</x:v>
      </x:c>
      <x:c r="AA53" s="65" t="n">
        <x:f aca="0">AVERAGE(N53:Y53)</x:f>
        <x:v>2.98540843505342</x:v>
      </x:c>
      <x:c r="AB53" s="52"/>
      <x:c r="AC53" s="52"/>
    </x:row>
    <x:row r="54" ht="15" hidden="0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52"/>
      <x:c r="AC54" s="52"/>
    </x:row>
    <x:row r="55" ht="15" hidden="0">
      <x:c r="A55" s="66"/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66"/>
      <x:c r="O55" s="66"/>
      <x:c r="P55" s="66"/>
      <x:c r="Q55" s="66"/>
      <x:c r="R55" s="66"/>
      <x:c r="S55" s="66"/>
      <x:c r="T55" s="66"/>
      <x:c r="U55" s="66"/>
      <x:c r="V55" s="66"/>
      <x:c r="W55" s="66"/>
      <x:c r="X55" s="66"/>
      <x:c r="Y55" s="66"/>
      <x:c r="Z55" s="66"/>
      <x:c r="AA55" s="66"/>
      <x:c r="AB55" s="66"/>
      <x:c r="AC55" s="66"/>
    </x:row>
    <x:row r="56" ht="15" hidden="0">
      <x:c r="A56" s="66"/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66"/>
      <x:c r="O56" s="66"/>
      <x:c r="P56" s="66"/>
      <x:c r="Q56" s="66"/>
      <x:c r="R56" s="66"/>
      <x:c r="S56" s="66"/>
      <x:c r="T56" s="66"/>
      <x:c r="U56" s="66"/>
      <x:c r="V56" s="66"/>
      <x:c r="W56" s="66"/>
      <x:c r="X56" s="66"/>
      <x:c r="Y56" s="66"/>
      <x:c r="Z56" s="66"/>
      <x:c r="AA56" s="66"/>
      <x:c r="AB56" s="66"/>
      <x:c r="AC56" s="66"/>
    </x:row>
  </x:sheetData>
  <x:pageMargins left="0.7" right="0.7" top="0.75" bottom="0.75" header="0.3" footer="0.3"/>
  <x:drawing xmlns:r="http://schemas.openxmlformats.org/officeDocument/2006/relationships" r:id="Rd7a23ca6b53b4b8e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3203125" defaultRowHeight="15"/>
  <x:cols>
    <x:col min="1" max="1" width="54.66999816894531" hidden="0" customWidth="1"/>
    <x:col min="2" max="3" width="8.670000076293945" hidden="0" customWidth="1"/>
    <x:col min="4" max="10" width="10" hidden="0" customWidth="1"/>
    <x:col min="11" max="26" width="11" hidden="0" customWidth="1"/>
    <x:col min="27" max="27" width="11.829999923706055" hidden="0" customWidth="1"/>
    <x:col min="28" max="28" width="15.510000228881836" hidden="0" customWidth="1"/>
    <x:col min="29" max="29" width="8.670000076293945" hidden="0" customWidth="1"/>
  </x:cols>
  <x:sheetData>
    <x:row r="1" ht="18.549999237060547" hidden="0">
      <x:c r="A1" s="49" t="s">
        <x:v>183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2"/>
      <x:c r="AC1" s="2"/>
    </x:row>
    <x:row r="2" ht="15" hidden="0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  <x:c r="Z2" s="50"/>
      <x:c r="AA2" s="50"/>
      <x:c r="AB2" s="51"/>
      <x:c r="AC2" s="51"/>
    </x:row>
    <x:row r="3" ht="15" hidden="0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  <x:c r="AA3" s="52"/>
      <x:c r="AB3" s="52"/>
      <x:c r="AC3" s="52"/>
    </x:row>
    <x:row r="4" ht="23.850000381469727" hidden="0">
      <x:c r="A4" s="67" t="s">
        <x:v>84</x:v>
      </x:c>
      <x:c r="B4" s="54" t="s">
        <x:v>120</x:v>
      </x:c>
      <x:c r="C4" s="54" t="s">
        <x:v>121</x:v>
      </x:c>
      <x:c r="D4" s="54" t="s">
        <x:v>122</x:v>
      </x:c>
      <x:c r="E4" s="54" t="s">
        <x:v>123</x:v>
      </x:c>
      <x:c r="F4" s="54" t="s">
        <x:v>124</x:v>
      </x:c>
      <x:c r="G4" s="54" t="s">
        <x:v>125</x:v>
      </x:c>
      <x:c r="H4" s="54" t="s">
        <x:v>126</x:v>
      </x:c>
      <x:c r="I4" s="54" t="s">
        <x:v>127</x:v>
      </x:c>
      <x:c r="J4" s="54" t="s">
        <x:v>128</x:v>
      </x:c>
      <x:c r="K4" s="54" t="s">
        <x:v>129</x:v>
      </x:c>
      <x:c r="L4" s="54" t="s">
        <x:v>130</x:v>
      </x:c>
      <x:c r="M4" s="54" t="s">
        <x:v>131</x:v>
      </x:c>
      <x:c r="N4" s="54" t="s">
        <x:v>132</x:v>
      </x:c>
      <x:c r="O4" s="54" t="s">
        <x:v>133</x:v>
      </x:c>
      <x:c r="P4" s="54" t="s">
        <x:v>134</x:v>
      </x:c>
      <x:c r="Q4" s="54" t="s">
        <x:v>135</x:v>
      </x:c>
      <x:c r="R4" s="54" t="s">
        <x:v>136</x:v>
      </x:c>
      <x:c r="S4" s="54" t="s">
        <x:v>137</x:v>
      </x:c>
      <x:c r="T4" s="54" t="s">
        <x:v>138</x:v>
      </x:c>
      <x:c r="U4" s="54" t="s">
        <x:v>139</x:v>
      </x:c>
      <x:c r="V4" s="54" t="s">
        <x:v>140</x:v>
      </x:c>
      <x:c r="W4" s="54" t="s">
        <x:v>141</x:v>
      </x:c>
      <x:c r="X4" s="54" t="s">
        <x:v>142</x:v>
      </x:c>
      <x:c r="Y4" s="54" t="s">
        <x:v>143</x:v>
      </x:c>
      <x:c r="Z4" s="54" t="s">
        <x:v>144</x:v>
      </x:c>
      <x:c r="AA4" s="54" t="s">
        <x:v>145</x:v>
      </x:c>
      <x:c r="AB4" s="55" t="s">
        <x:v>184</x:v>
      </x:c>
      <x:c r="AC4" s="55" t="s">
        <x:v>3</x:v>
      </x:c>
    </x:row>
    <x:row r="5" ht="15" hidden="0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  <x:c r="AA5" s="52"/>
      <x:c r="AB5" s="52"/>
      <x:c r="AC5" s="52"/>
    </x:row>
    <x:row r="6" ht="15" hidden="0">
      <x:c r="A6" s="58" t="s">
        <x:v>185</x:v>
      </x:c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8"/>
      <x:c r="AA6" s="58"/>
      <x:c r="AB6" s="59"/>
      <x:c r="AC6" s="59"/>
    </x:row>
    <x:row r="7" ht="15" hidden="0">
      <x:c r="A7" s="52" t="s">
        <x:v>186</x:v>
      </x:c>
      <x:c r="B7" s="68" t="n">
        <x:f aca="0">'Operating Model'!B36</x:f>
        <x:v>0</x:v>
      </x:c>
      <x:c r="C7" s="68" t="n">
        <x:f aca="0">'Operating Model'!C36</x:f>
        <x:v>0</x:v>
      </x:c>
      <x:c r="D7" s="68" t="n">
        <x:f aca="0">'Operating Model'!D36</x:f>
        <x:v>0</x:v>
      </x:c>
      <x:c r="E7" s="68" t="n">
        <x:f aca="0">'Operating Model'!E36</x:f>
        <x:v>80.4375</x:v>
      </x:c>
      <x:c r="F7" s="68" t="n">
        <x:f aca="0">'Operating Model'!F36</x:f>
        <x:v>240.91031249999997</x:v>
      </x:c>
      <x:c r="G7" s="68" t="n">
        <x:f aca="0">'Operating Model'!G36</x:f>
        <x:v>481.2716390625</x:v>
      </x:c>
      <x:c r="H7" s="68" t="n">
        <x:f aca="0">'Operating Model'!H36</x:f>
        <x:v>801.6311461640626</x:v>
      </x:c>
      <x:c r="I7" s="68" t="n">
        <x:f aca="0">'Operating Model'!I36</x:f>
        <x:v>1202.3568220447266</x:v>
      </x:c>
      <x:c r="J7" s="68" t="n">
        <x:f aca="0">'Operating Model'!J36</x:f>
        <x:v>1684.0776255317244</x:v>
      </x:c>
      <x:c r="K7" s="68" t="n">
        <x:f aca="0">'Operating Model'!K36</x:f>
        <x:v>2247.6869402676257</x:v>
      </x:c>
      <x:c r="L7" s="68" t="n">
        <x:f aca="0">'Operating Model'!L36</x:f>
        <x:v>2894.3468502841624</x:v>
      </x:c>
      <x:c r="M7" s="68" t="n">
        <x:f aca="0">'Operating Model'!M36</x:f>
        <x:v>3625.493255439498</x:v>
      </x:c>
      <x:c r="N7" s="68" t="n">
        <x:f aca="0">'Operating Model'!N36</x:f>
        <x:v>4442.8418478868025</x:v>
      </x:c>
      <x:c r="O7" s="68" t="n">
        <x:f aca="0">'Operating Model'!O36</x:f>
        <x:v>5348.394973474119</x:v>
      </x:c>
      <x:c r="P7" s="68" t="n">
        <x:f aca="0">'Operating Model'!P36</x:f>
        <x:v>6344.44940479845</x:v>
      </x:c>
      <x:c r="Q7" s="68" t="n">
        <x:f aca="0">'Operating Model'!Q36</x:f>
        <x:v>7428.260751899853</x:v>
      </x:c>
      <x:c r="R7" s="68" t="n">
        <x:f aca="0">'Operating Model'!R36</x:f>
        <x:v>8597.290568180404</x:v>
      </x:c>
      <x:c r="S7" s="68" t="n">
        <x:f aca="0">'Operating Model'!S36</x:f>
        <x:v>9849.197408227992</x:v>
      </x:c>
      <x:c r="T7" s="68" t="n">
        <x:f aca="0">'Operating Model'!T36</x:f>
        <x:v>11181.828372070282</x:v>
      </x:c>
      <x:c r="U7" s="68" t="n">
        <x:f aca="0">'Operating Model'!U36</x:f>
        <x:v>12593.211112438677</x:v>
      </x:c>
      <x:c r="V7" s="68" t="n">
        <x:f aca="0">'Operating Model'!V36</x:f>
        <x:v>14081.546282816902</x:v>
      </x:c>
      <x:c r="W7" s="68" t="n">
        <x:f aca="0">'Operating Model'!W36</x:f>
        <x:v>15645.200405184361</x:v>
      </x:c>
      <x:c r="X7" s="68" t="n">
        <x:f aca="0">'Operating Model'!X36</x:f>
        <x:v>17282.699137443924</x:v>
      </x:c>
      <x:c r="Y7" s="68" t="n">
        <x:f aca="0">'Operating Model'!Y36</x:f>
        <x:v>18992.72092154978</x:v>
      </x:c>
      <x:c r="Z7" s="68" t="n">
        <x:f aca="0">M7</x:f>
        <x:v>3625.493255439498</x:v>
      </x:c>
      <x:c r="AA7" s="68" t="n">
        <x:f aca="0">Y7</x:f>
        <x:v>18992.72092154978</x:v>
      </x:c>
      <x:c r="AB7" s="52"/>
      <x:c r="AC7" s="52"/>
    </x:row>
    <x:row r="8" ht="15" hidden="0">
      <x:c r="A8" s="52" t="s">
        <x:v>187</x:v>
      </x:c>
      <x:c r="B8" s="69" t="n">
        <x:f aca="0">Assumptions!$B$30</x:f>
        <x:v>1600</x:v>
      </x:c>
      <x:c r="C8" s="69" t="n">
        <x:f aca="0">Assumptions!$B$30</x:f>
        <x:v>1600</x:v>
      </x:c>
      <x:c r="D8" s="69" t="n">
        <x:f aca="0">Assumptions!$B$30</x:f>
        <x:v>1600</x:v>
      </x:c>
      <x:c r="E8" s="69" t="n">
        <x:f aca="0">Assumptions!$B$30</x:f>
        <x:v>1600</x:v>
      </x:c>
      <x:c r="F8" s="69" t="n">
        <x:f aca="0">Assumptions!$B$30</x:f>
        <x:v>1600</x:v>
      </x:c>
      <x:c r="G8" s="69" t="n">
        <x:f aca="0">Assumptions!$B$30</x:f>
        <x:v>1600</x:v>
      </x:c>
      <x:c r="H8" s="69" t="n">
        <x:f aca="0">Assumptions!$B$30</x:f>
        <x:v>1600</x:v>
      </x:c>
      <x:c r="I8" s="69" t="n">
        <x:f aca="0">Assumptions!$B$30</x:f>
        <x:v>1600</x:v>
      </x:c>
      <x:c r="J8" s="69" t="n">
        <x:f aca="0">Assumptions!$B$30</x:f>
        <x:v>1600</x:v>
      </x:c>
      <x:c r="K8" s="69" t="n">
        <x:f aca="0">Assumptions!$B$30</x:f>
        <x:v>1600</x:v>
      </x:c>
      <x:c r="L8" s="69" t="n">
        <x:f aca="0">Assumptions!$B$30</x:f>
        <x:v>1600</x:v>
      </x:c>
      <x:c r="M8" s="69" t="n">
        <x:f aca="0">Assumptions!$B$30</x:f>
        <x:v>1600</x:v>
      </x:c>
      <x:c r="N8" s="69" t="n">
        <x:f aca="0">Assumptions!$B$30</x:f>
        <x:v>1600</x:v>
      </x:c>
      <x:c r="O8" s="69" t="n">
        <x:f aca="0">Assumptions!$B$30</x:f>
        <x:v>1600</x:v>
      </x:c>
      <x:c r="P8" s="69" t="n">
        <x:f aca="0">Assumptions!$B$30</x:f>
        <x:v>1600</x:v>
      </x:c>
      <x:c r="Q8" s="69" t="n">
        <x:f aca="0">Assumptions!$B$30</x:f>
        <x:v>1600</x:v>
      </x:c>
      <x:c r="R8" s="69" t="n">
        <x:f aca="0">Assumptions!$B$30</x:f>
        <x:v>1600</x:v>
      </x:c>
      <x:c r="S8" s="69" t="n">
        <x:f aca="0">Assumptions!$B$30</x:f>
        <x:v>1600</x:v>
      </x:c>
      <x:c r="T8" s="69" t="n">
        <x:f aca="0">Assumptions!$B$30</x:f>
        <x:v>1600</x:v>
      </x:c>
      <x:c r="U8" s="69" t="n">
        <x:f aca="0">Assumptions!$B$30</x:f>
        <x:v>1600</x:v>
      </x:c>
      <x:c r="V8" s="69" t="n">
        <x:f aca="0">Assumptions!$B$30</x:f>
        <x:v>1600</x:v>
      </x:c>
      <x:c r="W8" s="69" t="n">
        <x:f aca="0">Assumptions!$B$30</x:f>
        <x:v>1600</x:v>
      </x:c>
      <x:c r="X8" s="69" t="n">
        <x:f aca="0">Assumptions!$B$30</x:f>
        <x:v>1600</x:v>
      </x:c>
      <x:c r="Y8" s="69" t="n">
        <x:f aca="0">Assumptions!$B$30</x:f>
        <x:v>1600</x:v>
      </x:c>
      <x:c r="Z8" s="69" t="n">
        <x:f aca="0">AVERAGE(B8:M8)</x:f>
        <x:v>1600</x:v>
      </x:c>
      <x:c r="AA8" s="69" t="n">
        <x:f aca="0">AVERAGE(N8:Y8)</x:f>
        <x:v>1600</x:v>
      </x:c>
      <x:c r="AB8" s="52"/>
      <x:c r="AC8" s="52"/>
    </x:row>
    <x:row r="9" ht="15" hidden="0">
      <x:c r="A9" s="52" t="s">
        <x:v>188</x:v>
      </x:c>
      <x:c r="B9" s="68" t="n">
        <x:f aca="0">'Operating Model'!B44</x:f>
        <x:v>146.39625</x:v>
      </x:c>
      <x:c r="C9" s="68" t="n">
        <x:f aca="0">'Operating Model'!C44</x:f>
        <x:v>298.64835</x:v>
      </x:c>
      <x:c r="D9" s="68" t="n">
        <x:f aca="0">'Operating Model'!D44</x:f>
        <x:v>457.16620950000004</x:v>
      </x:c>
      <x:c r="E9" s="68" t="n">
        <x:f aca="0">'Operating Model'!E44</x:f>
        <x:v>666.6237864000001</x:v>
      </x:c>
      <x:c r="F9" s="68" t="n">
        <x:f aca="0">'Operating Model'!F44</x:f>
        <x:v>927.0368595774</x:v>
      </x:c>
      <x:c r="G9" s="68" t="n">
        <x:f aca="0">'Operating Model'!G44</x:f>
        <x:v>1238.593568288076</x:v>
      </x:c>
      <x:c r="H9" s="68" t="n">
        <x:f aca="0">'Operating Model'!H44</x:f>
        <x:v>1601.655795438047</x:v>
      </x:c>
      <x:c r="I9" s="68" t="n">
        <x:f aca="0">'Operating Model'!I44</x:f>
        <x:v>2016.7610895223688</x:v>
      </x:c>
      <x:c r="J9" s="68" t="n">
        <x:f aca="0">'Operating Model'!J44</x:f>
        <x:v>2484.625134612675</x:v>
      </x:c>
      <x:c r="K9" s="68" t="n">
        <x:f aca="0">'Operating Model'!K44</x:f>
        <x:v>3006.144779487702</x:v>
      </x:c>
      <x:c r="L9" s="68" t="n">
        <x:f aca="0">'Operating Model'!L44</x:f>
        <x:v>3582.401638759263</x:v>
      </x:c>
      <x:c r="M9" s="68" t="n">
        <x:f aca="0">'Operating Model'!M44</x:f>
        <x:v>4214.6662806550685</x:v>
      </x:c>
      <x:c r="N9" s="68" t="n">
        <x:f aca="0">'Operating Model'!N44</x:f>
        <x:v>4894.676385324092</x:v>
      </x:c>
      <x:c r="O9" s="68" t="n">
        <x:f aca="0">'Operating Model'!O44</x:f>
        <x:v>5623.463191641398</x:v>
      </x:c>
      <x:c r="P9" s="68" t="n">
        <x:f aca="0">'Operating Model'!P44</x:f>
        <x:v>6402.220110016455</x:v>
      </x:c>
      <x:c r="Q9" s="68" t="n">
        <x:f aca="0">'Operating Model'!Q44</x:f>
        <x:v>7229.367442421033</x:v>
      </x:c>
      <x:c r="R9" s="68" t="n">
        <x:f aca="0">'Operating Model'!R44</x:f>
        <x:v>8103.452274492378</x:v>
      </x:c>
      <x:c r="S9" s="68" t="n">
        <x:f aca="0">'Operating Model'!S44</x:f>
        <x:v>9023.142834747538</x:v>
      </x:c>
      <x:c r="T9" s="68" t="n">
        <x:f aca="0">'Operating Model'!T44</x:f>
        <x:v>9987.223163228356</x:v>
      </x:c>
      <x:c r="U9" s="68" t="n">
        <x:f aca="0">'Operating Model'!U44</x:f>
        <x:v>10994.588074591731</x:v>
      </x:c>
      <x:c r="V9" s="68" t="n">
        <x:f aca="0">'Operating Model'!V44</x:f>
        <x:v>12044.238401425178</x:v>
      </x:c>
      <x:c r="W9" s="68" t="n">
        <x:f aca="0">'Operating Model'!W44</x:f>
        <x:v>13135.276504295147</x:v>
      </x:c>
      <x:c r="X9" s="68" t="n">
        <x:f aca="0">'Operating Model'!X44</x:f>
        <x:v>14266.90203572698</x:v>
      </x:c>
      <x:c r="Y9" s="68" t="n">
        <x:f aca="0">'Operating Model'!Y44</x:f>
        <x:v>15438.407945972587</x:v>
      </x:c>
      <x:c r="Z9" s="68" t="n">
        <x:f aca="0">M9</x:f>
        <x:v>4214.6662806550685</x:v>
      </x:c>
      <x:c r="AA9" s="68" t="n">
        <x:f aca="0">Y9</x:f>
        <x:v>15438.407945972587</x:v>
      </x:c>
      <x:c r="AB9" s="52"/>
      <x:c r="AC9" s="52"/>
    </x:row>
    <x:row r="10" ht="15" hidden="0">
      <x:c r="A10" s="52" t="s">
        <x:v>189</x:v>
      </x:c>
      <x:c r="B10" s="69" t="n">
        <x:f aca="0">Assumptions!$B$31</x:f>
        <x:v>2200</x:v>
      </x:c>
      <x:c r="C10" s="69" t="n">
        <x:f aca="0">Assumptions!$B$31</x:f>
        <x:v>2200</x:v>
      </x:c>
      <x:c r="D10" s="69" t="n">
        <x:f aca="0">Assumptions!$B$31</x:f>
        <x:v>2200</x:v>
      </x:c>
      <x:c r="E10" s="69" t="n">
        <x:f aca="0">Assumptions!$B$31</x:f>
        <x:v>2200</x:v>
      </x:c>
      <x:c r="F10" s="69" t="n">
        <x:f aca="0">Assumptions!$B$31</x:f>
        <x:v>2200</x:v>
      </x:c>
      <x:c r="G10" s="69" t="n">
        <x:f aca="0">Assumptions!$B$31</x:f>
        <x:v>2200</x:v>
      </x:c>
      <x:c r="H10" s="69" t="n">
        <x:f aca="0">Assumptions!$B$31</x:f>
        <x:v>2200</x:v>
      </x:c>
      <x:c r="I10" s="69" t="n">
        <x:f aca="0">Assumptions!$B$31</x:f>
        <x:v>2200</x:v>
      </x:c>
      <x:c r="J10" s="69" t="n">
        <x:f aca="0">Assumptions!$B$31</x:f>
        <x:v>2200</x:v>
      </x:c>
      <x:c r="K10" s="69" t="n">
        <x:f aca="0">Assumptions!$B$31</x:f>
        <x:v>2200</x:v>
      </x:c>
      <x:c r="L10" s="69" t="n">
        <x:f aca="0">Assumptions!$B$31</x:f>
        <x:v>2200</x:v>
      </x:c>
      <x:c r="M10" s="69" t="n">
        <x:f aca="0">Assumptions!$B$31</x:f>
        <x:v>2200</x:v>
      </x:c>
      <x:c r="N10" s="69" t="n">
        <x:f aca="0">Assumptions!$B$31</x:f>
        <x:v>2200</x:v>
      </x:c>
      <x:c r="O10" s="69" t="n">
        <x:f aca="0">Assumptions!$B$31</x:f>
        <x:v>2200</x:v>
      </x:c>
      <x:c r="P10" s="69" t="n">
        <x:f aca="0">Assumptions!$B$31</x:f>
        <x:v>2200</x:v>
      </x:c>
      <x:c r="Q10" s="69" t="n">
        <x:f aca="0">Assumptions!$B$31</x:f>
        <x:v>2200</x:v>
      </x:c>
      <x:c r="R10" s="69" t="n">
        <x:f aca="0">Assumptions!$B$31</x:f>
        <x:v>2200</x:v>
      </x:c>
      <x:c r="S10" s="69" t="n">
        <x:f aca="0">Assumptions!$B$31</x:f>
        <x:v>2200</x:v>
      </x:c>
      <x:c r="T10" s="69" t="n">
        <x:f aca="0">Assumptions!$B$31</x:f>
        <x:v>2200</x:v>
      </x:c>
      <x:c r="U10" s="69" t="n">
        <x:f aca="0">Assumptions!$B$31</x:f>
        <x:v>2200</x:v>
      </x:c>
      <x:c r="V10" s="69" t="n">
        <x:f aca="0">Assumptions!$B$31</x:f>
        <x:v>2200</x:v>
      </x:c>
      <x:c r="W10" s="69" t="n">
        <x:f aca="0">Assumptions!$B$31</x:f>
        <x:v>2200</x:v>
      </x:c>
      <x:c r="X10" s="69" t="n">
        <x:f aca="0">Assumptions!$B$31</x:f>
        <x:v>2200</x:v>
      </x:c>
      <x:c r="Y10" s="69" t="n">
        <x:f aca="0">Assumptions!$B$31</x:f>
        <x:v>2200</x:v>
      </x:c>
      <x:c r="Z10" s="69" t="n">
        <x:f aca="0">AVERAGE(B10:M10)</x:f>
        <x:v>2200</x:v>
      </x:c>
      <x:c r="AA10" s="69" t="n">
        <x:f aca="0">AVERAGE(N10:Y10)</x:f>
        <x:v>2200</x:v>
      </x:c>
      <x:c r="AB10" s="52"/>
      <x:c r="AC10" s="52"/>
    </x:row>
    <x:row r="11" ht="15" hidden="0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</x:row>
    <x:row r="12" ht="15" hidden="0">
      <x:c r="A12" s="58" t="s">
        <x:v>190</x:v>
      </x:c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  <x:c r="L12" s="58"/>
      <x:c r="M12" s="58"/>
      <x:c r="N12" s="58"/>
      <x:c r="O12" s="58"/>
      <x:c r="P12" s="58"/>
      <x:c r="Q12" s="58"/>
      <x:c r="R12" s="58"/>
      <x:c r="S12" s="58"/>
      <x:c r="T12" s="58"/>
      <x:c r="U12" s="58"/>
      <x:c r="V12" s="58"/>
      <x:c r="W12" s="58"/>
      <x:c r="X12" s="58"/>
      <x:c r="Y12" s="58"/>
      <x:c r="Z12" s="58"/>
      <x:c r="AA12" s="58"/>
      <x:c r="AB12" s="59"/>
      <x:c r="AC12" s="59"/>
    </x:row>
    <x:row r="13" ht="23.850000381469727" hidden="0">
      <x:c r="A13" s="52" t="s">
        <x:v>191</x:v>
      </x:c>
      <x:c r="B13" s="70" t="n">
        <x:f aca="0">B7*B8</x:f>
        <x:v>0</x:v>
      </x:c>
      <x:c r="C13" s="70" t="n">
        <x:f aca="0">C7*C8</x:f>
        <x:v>0</x:v>
      </x:c>
      <x:c r="D13" s="70" t="n">
        <x:f aca="0">D7*D8</x:f>
        <x:v>0</x:v>
      </x:c>
      <x:c r="E13" s="70" t="n">
        <x:f aca="0">E7*E8</x:f>
        <x:v>128700</x:v>
      </x:c>
      <x:c r="F13" s="70" t="n">
        <x:f aca="0">F7*F8</x:f>
        <x:v>385456.49999999994</x:v>
      </x:c>
      <x:c r="G13" s="70" t="n">
        <x:f aca="0">G7*G8</x:f>
        <x:v>770034.6225</x:v>
      </x:c>
      <x:c r="H13" s="70" t="n">
        <x:f aca="0">H7*H8</x:f>
        <x:v>1282609.8338625</x:v>
      </x:c>
      <x:c r="I13" s="70" t="n">
        <x:f aca="0">I7*I8</x:f>
        <x:v>1923770.9152715625</x:v>
      </x:c>
      <x:c r="J13" s="70" t="n">
        <x:f aca="0">J7*J8</x:f>
        <x:v>2694524.200850759</x:v>
      </x:c>
      <x:c r="K13" s="70" t="n">
        <x:f aca="0">K7*K8</x:f>
        <x:v>3596299.104428201</x:v>
      </x:c>
      <x:c r="L13" s="70" t="n">
        <x:f aca="0">L7*L8</x:f>
        <x:v>4630954.96045466</x:v>
      </x:c>
      <x:c r="M13" s="70" t="n">
        <x:f aca="0">M7*M8</x:f>
        <x:v>5800789.208703198</x:v>
      </x:c>
      <x:c r="N13" s="70" t="n">
        <x:f aca="0">N7*N8</x:f>
        <x:v>7108546.956618884</x:v>
      </x:c>
      <x:c r="O13" s="70" t="n">
        <x:f aca="0">O7*O8</x:f>
        <x:v>8557431.95755859</x:v>
      </x:c>
      <x:c r="P13" s="70" t="n">
        <x:f aca="0">P7*P8</x:f>
        <x:v>10151119.04767752</x:v>
      </x:c>
      <x:c r="Q13" s="70" t="n">
        <x:f aca="0">Q7*Q8</x:f>
        <x:v>11885217.203039765</x:v>
      </x:c>
      <x:c r="R13" s="70" t="n">
        <x:f aca="0">R7*R8</x:f>
        <x:v>13755664.909088647</x:v>
      </x:c>
      <x:c r="S13" s="70" t="n">
        <x:f aca="0">S7*S8</x:f>
        <x:v>15758715.853164788</x:v>
      </x:c>
      <x:c r="T13" s="70" t="n">
        <x:f aca="0">T7*T8</x:f>
        <x:v>17890925.39531245</x:v>
      </x:c>
      <x:c r="U13" s="70" t="n">
        <x:f aca="0">U7*U8</x:f>
        <x:v>20149137.779901884</x:v>
      </x:c>
      <x:c r="V13" s="70" t="n">
        <x:f aca="0">V7*V8</x:f>
        <x:v>22530474.052507043</x:v>
      </x:c>
      <x:c r="W13" s="70" t="n">
        <x:f aca="0">W7*W8</x:f>
        <x:v>25032320.648294978</x:v>
      </x:c>
      <x:c r="X13" s="70" t="n">
        <x:f aca="0">X7*X8</x:f>
        <x:v>27652318.619910277</x:v>
      </x:c>
      <x:c r="Y13" s="70" t="n">
        <x:f aca="0">Y7*Y8</x:f>
        <x:v>30388353.474479645</x:v>
      </x:c>
      <x:c r="Z13" s="70" t="n">
        <x:f aca="0">SUM(B13:M13)</x:f>
        <x:v>21213139.34607088</x:v>
      </x:c>
      <x:c r="AA13" s="70" t="n">
        <x:f aca="0">SUM(N13:Y13)</x:f>
        <x:v>210860225.8975545</x:v>
      </x:c>
      <x:c r="AB13" s="52"/>
      <x:c r="AC13" s="52"/>
    </x:row>
    <x:row r="14" ht="23.850000381469727" hidden="0">
      <x:c r="A14" s="52" t="s">
        <x:v>192</x:v>
      </x:c>
      <x:c r="B14" s="70" t="n">
        <x:f aca="0">B9*B10</x:f>
        <x:v>322071.75</x:v>
      </x:c>
      <x:c r="C14" s="70" t="n">
        <x:f aca="0">C9*C10</x:f>
        <x:v>657026.37</x:v>
      </x:c>
      <x:c r="D14" s="70" t="n">
        <x:f aca="0">D9*D10</x:f>
        <x:v>1005765.6609000001</x:v>
      </x:c>
      <x:c r="E14" s="70" t="n">
        <x:f aca="0">E9*E10</x:f>
        <x:v>1466572.3300800002</x:v>
      </x:c>
      <x:c r="F14" s="70" t="n">
        <x:f aca="0">F9*F10</x:f>
        <x:v>2039481.0910702802</x:v>
      </x:c>
      <x:c r="G14" s="70" t="n">
        <x:f aca="0">G9*G10</x:f>
        <x:v>2724905.850233767</x:v>
      </x:c>
      <x:c r="H14" s="70" t="n">
        <x:f aca="0">H9*H10</x:f>
        <x:v>3523642.7499637036</x:v>
      </x:c>
      <x:c r="I14" s="70" t="n">
        <x:f aca="0">I9*I10</x:f>
        <x:v>4436874.396949211</x:v>
      </x:c>
      <x:c r="J14" s="70" t="n">
        <x:f aca="0">J9*J10</x:f>
        <x:v>5466175.296147885</x:v>
      </x:c>
      <x:c r="K14" s="70" t="n">
        <x:f aca="0">K9*K10</x:f>
        <x:v>6613518.514872945</x:v>
      </x:c>
      <x:c r="L14" s="70" t="n">
        <x:f aca="0">L9*L10</x:f>
        <x:v>7881283.605270378</x:v>
      </x:c>
      <x:c r="M14" s="70" t="n">
        <x:f aca="0">M9*M10</x:f>
        <x:v>9272265.81744115</x:v>
      </x:c>
      <x:c r="N14" s="70" t="n">
        <x:f aca="0">N9*N10</x:f>
        <x:v>10768288.047713002</x:v>
      </x:c>
      <x:c r="O14" s="70" t="n">
        <x:f aca="0">O9*O10</x:f>
        <x:v>12371619.021611076</x:v>
      </x:c>
      <x:c r="P14" s="70" t="n">
        <x:f aca="0">P9*P10</x:f>
        <x:v>14084884.242036201</x:v>
      </x:c>
      <x:c r="Q14" s="70" t="n">
        <x:f aca="0">Q9*Q10</x:f>
        <x:v>15904608.373326272</x:v>
      </x:c>
      <x:c r="R14" s="70" t="n">
        <x:f aca="0">R9*R10</x:f>
        <x:v>17827595.00388323</x:v>
      </x:c>
      <x:c r="S14" s="70" t="n">
        <x:f aca="0">S9*S10</x:f>
        <x:v>19850914.23644458</x:v>
      </x:c>
      <x:c r="T14" s="70" t="n">
        <x:f aca="0">T9*T10</x:f>
        <x:v>21971890.959102385</x:v>
      </x:c>
      <x:c r="U14" s="70" t="n">
        <x:f aca="0">U9*U10</x:f>
        <x:v>24188093.764101807</x:v>
      </x:c>
      <x:c r="V14" s="70" t="n">
        <x:f aca="0">V9*V10</x:f>
        <x:v>26497324.48313539</x:v>
      </x:c>
      <x:c r="W14" s="70" t="n">
        <x:f aca="0">W9*W10</x:f>
        <x:v>28897608.309449323</x:v>
      </x:c>
      <x:c r="X14" s="70" t="n">
        <x:f aca="0">X9*X10</x:f>
        <x:v>31387184.478599355</x:v>
      </x:c>
      <x:c r="Y14" s="70" t="n">
        <x:f aca="0">Y9*Y10</x:f>
        <x:v>33964497.48113969</x:v>
      </x:c>
      <x:c r="Z14" s="70" t="n">
        <x:f aca="0">SUM(B14:M14)</x:f>
        <x:v>45409583.43292932</x:v>
      </x:c>
      <x:c r="AA14" s="70" t="n">
        <x:f aca="0">SUM(N14:Y14)</x:f>
        <x:v>257714508.4005423</x:v>
      </x:c>
      <x:c r="AB14" s="52"/>
      <x:c r="AC14" s="52"/>
    </x:row>
    <x:row r="15" ht="23.850000381469727" hidden="0">
      <x:c r="A15" s="71" t="s">
        <x:v>193</x:v>
      </x:c>
      <x:c r="B15" s="72" t="n">
        <x:f aca="0">SUM(B13:B14)</x:f>
        <x:v>322071.75</x:v>
      </x:c>
      <x:c r="C15" s="72" t="n">
        <x:f aca="0">SUM(C13:C14)</x:f>
        <x:v>657026.37</x:v>
      </x:c>
      <x:c r="D15" s="72" t="n">
        <x:f aca="0">SUM(D13:D14)</x:f>
        <x:v>1005765.6609000001</x:v>
      </x:c>
      <x:c r="E15" s="72" t="n">
        <x:f aca="0">SUM(E13:E14)</x:f>
        <x:v>1595272.3300800002</x:v>
      </x:c>
      <x:c r="F15" s="72" t="n">
        <x:f aca="0">SUM(F13:F14)</x:f>
        <x:v>2424937.59107028</x:v>
      </x:c>
      <x:c r="G15" s="72" t="n">
        <x:f aca="0">SUM(G13:G14)</x:f>
        <x:v>3494940.4727337672</x:v>
      </x:c>
      <x:c r="H15" s="72" t="n">
        <x:f aca="0">SUM(H13:H14)</x:f>
        <x:v>4806252.583826204</x:v>
      </x:c>
      <x:c r="I15" s="72" t="n">
        <x:f aca="0">SUM(I13:I14)</x:f>
        <x:v>6360645.312220774</x:v>
      </x:c>
      <x:c r="J15" s="72" t="n">
        <x:f aca="0">SUM(J13:J14)</x:f>
        <x:v>8160699.4969986435</x:v>
      </x:c>
      <x:c r="K15" s="72" t="n">
        <x:f aca="0">SUM(K13:K14)</x:f>
        <x:v>10209817.619301146</x:v>
      </x:c>
      <x:c r="L15" s="72" t="n">
        <x:f aca="0">SUM(L13:L14)</x:f>
        <x:v>12512238.565725038</x:v>
      </x:c>
      <x:c r="M15" s="72" t="n">
        <x:f aca="0">SUM(M13:M14)</x:f>
        <x:v>15073055.026144348</x:v>
      </x:c>
      <x:c r="N15" s="72" t="n">
        <x:f aca="0">SUM(N13:N14)</x:f>
        <x:v>17876835.004331887</x:v>
      </x:c>
      <x:c r="O15" s="72" t="n">
        <x:f aca="0">SUM(O13:O14)</x:f>
        <x:v>20929050.979169667</x:v>
      </x:c>
      <x:c r="P15" s="72" t="n">
        <x:f aca="0">SUM(P13:P14)</x:f>
        <x:v>24236003.28971372</x:v>
      </x:c>
      <x:c r="Q15" s="72" t="n">
        <x:f aca="0">SUM(Q13:Q14)</x:f>
        <x:v>27789825.576366037</x:v>
      </x:c>
      <x:c r="R15" s="72" t="n">
        <x:f aca="0">SUM(R13:R14)</x:f>
        <x:v>31583259.912971877</x:v>
      </x:c>
      <x:c r="S15" s="72" t="n">
        <x:f aca="0">SUM(S13:S14)</x:f>
        <x:v>35609630.08960937</x:v>
      </x:c>
      <x:c r="T15" s="72" t="n">
        <x:f aca="0">SUM(T13:T14)</x:f>
        <x:v>39862816.354414836</x:v>
      </x:c>
      <x:c r="U15" s="72" t="n">
        <x:f aca="0">SUM(U13:U14)</x:f>
        <x:v>44337231.544003695</x:v>
      </x:c>
      <x:c r="V15" s="72" t="n">
        <x:f aca="0">SUM(V13:V14)</x:f>
        <x:v>49027798.53564243</x:v>
      </x:c>
      <x:c r="W15" s="72" t="n">
        <x:f aca="0">SUM(W13:W14)</x:f>
        <x:v>53929928.9577443</x:v>
      </x:c>
      <x:c r="X15" s="72" t="n">
        <x:f aca="0">SUM(X13:X14)</x:f>
        <x:v>59039503.09850963</x:v>
      </x:c>
      <x:c r="Y15" s="72" t="n">
        <x:f aca="0">SUM(Y13:Y14)</x:f>
        <x:v>64352850.955619335</x:v>
      </x:c>
      <x:c r="Z15" s="72" t="n">
        <x:f aca="0">SUM(B15:M15)</x:f>
        <x:v>66622722.7790002</x:v>
      </x:c>
      <x:c r="AA15" s="72" t="n">
        <x:f aca="0">SUM(N15:Y15)</x:f>
        <x:v>468574734.2980967</x:v>
      </x:c>
      <x:c r="AB15" s="52"/>
      <x:c r="AC15" s="52"/>
    </x:row>
    <x:row r="16" ht="15" hidden="0">
      <x:c r="A16" s="52" t="s">
        <x:v>194</x:v>
      </x:c>
      <x:c r="B16" s="73" t="n">
        <x:f aca="0">IFERROR(B13/B15,0)</x:f>
        <x:v>0</x:v>
      </x:c>
      <x:c r="C16" s="73" t="n">
        <x:f aca="0">IFERROR(C13/C15,0)</x:f>
        <x:v>0</x:v>
      </x:c>
      <x:c r="D16" s="73" t="n">
        <x:f aca="0">IFERROR(D13/D15,0)</x:f>
        <x:v>0</x:v>
      </x:c>
      <x:c r="E16" s="73" t="n">
        <x:f aca="0">IFERROR(E13/E15,0)</x:f>
        <x:v>0.08067588058369063</x:v>
      </x:c>
      <x:c r="F16" s="73" t="n">
        <x:f aca="0">IFERROR(F13/F15,0)</x:f>
        <x:v>0.1589552248352393</x:v>
      </x:c>
      <x:c r="G16" s="73" t="n">
        <x:f aca="0">IFERROR(G13/G15,0)</x:f>
        <x:v>0.22032839429098303</x:v>
      </x:c>
      <x:c r="H16" s="73" t="n">
        <x:f aca="0">IFERROR(H13/H15,0)</x:f>
        <x:v>0.2668627608500402</x:v>
      </x:c>
      <x:c r="I16" s="73" t="n">
        <x:f aca="0">IFERROR(I13/I15,0)</x:f>
        <x:v>0.30244901591594825</x:v>
      </x:c>
      <x:c r="J16" s="73" t="n">
        <x:f aca="0">IFERROR(J13/J15,0)</x:f>
        <x:v>0.3301829949554883</x:v>
      </x:c>
      <x:c r="K16" s="73" t="n">
        <x:f aca="0">IFERROR(K13/K15,0)</x:f>
        <x:v>0.35223930911650947</x:v>
      </x:c>
      <x:c r="L16" s="73" t="n">
        <x:f aca="0">IFERROR(L13/L15,0)</x:f>
        <x:v>0.3701140236520349</x:v>
      </x:c>
      <x:c r="M16" s="73" t="n">
        <x:f aca="0">IFERROR(M13/M15,0)</x:f>
        <x:v>0.3848449566887188</x:v>
      </x:c>
      <x:c r="N16" s="73" t="n">
        <x:f aca="0">IFERROR(N13/N15,0)</x:f>
        <x:v>0.39764012784681135</x:v>
      </x:c>
      <x:c r="O16" s="73" t="n">
        <x:f aca="0">IFERROR(O13/O15,0)</x:f>
        <x:v>0.40887816490464185</x:v>
      </x:c>
      <x:c r="P16" s="73" t="n">
        <x:f aca="0">IFERROR(P13/P15,0)</x:f>
        <x:v>0.41884459769758625</x:v>
      </x:c>
      <x:c r="Q16" s="73" t="n">
        <x:f aca="0">IFERROR(Q13/Q15,0)</x:f>
        <x:v>0.42768232461119127</x:v>
      </x:c>
      <x:c r="R16" s="73" t="n">
        <x:f aca="0">IFERROR(R13/R15,0)</x:f>
        <x:v>0.4355365768762496</x:v>
      </x:c>
      <x:c r="S16" s="73" t="n">
        <x:f aca="0">IFERROR(S13/S15,0)</x:f>
        <x:v>0.4425408467740042</x:v>
      </x:c>
      <x:c r="T16" s="73" t="n">
        <x:f aca="0">IFERROR(T13/T15,0)</x:f>
        <x:v>0.4488123778371976</x:v>
      </x:c>
      <x:c r="U16" s="73" t="n">
        <x:f aca="0">IFERROR(U13/U15,0)</x:f>
        <x:v>0.45445186986707375</x:v>
      </x:c>
      <x:c r="V16" s="73" t="n">
        <x:f aca="0">IFERROR(V13/V15,0)</x:f>
        <x:v>0.4595448852578552</x:v>
      </x:c>
      <x:c r="W16" s="73" t="n">
        <x:f aca="0">IFERROR(W13/W15,0)</x:f>
        <x:v>0.46416379795175594</x:v>
      </x:c>
      <x:c r="X16" s="73" t="n">
        <x:f aca="0">IFERROR(X13/X15,0)</x:f>
        <x:v>0.4683697722484443</x:v>
      </x:c>
      <x:c r="Y16" s="73" t="n">
        <x:f aca="0">IFERROR(Y13/Y15,0)</x:f>
        <x:v>0.4722145642846009</x:v>
      </x:c>
      <x:c r="Z16" s="73" t="n">
        <x:f aca="0">IFERROR(Z13/Z15,0)</x:f>
        <x:v>0.3184069707934147</x:v>
      </x:c>
      <x:c r="AA16" s="73" t="n">
        <x:f aca="0">IFERROR(AA13/AA15,0)</x:f>
        <x:v>0.45000340492838</x:v>
      </x:c>
      <x:c r="AB16" s="52"/>
      <x:c r="AC16" s="52"/>
    </x:row>
    <x:row r="17" ht="15" hidden="0">
      <x:c r="A17" s="52" t="s">
        <x:v>195</x:v>
      </x:c>
      <x:c r="B17" s="73" t="n">
        <x:f aca="0">IFERROR(B14/B15,0)</x:f>
        <x:v>1</x:v>
      </x:c>
      <x:c r="C17" s="73" t="n">
        <x:f aca="0">IFERROR(C14/C15,0)</x:f>
        <x:v>1</x:v>
      </x:c>
      <x:c r="D17" s="73" t="n">
        <x:f aca="0">IFERROR(D14/D15,0)</x:f>
        <x:v>1</x:v>
      </x:c>
      <x:c r="E17" s="73" t="n">
        <x:f aca="0">IFERROR(E14/E15,0)</x:f>
        <x:v>0.9193241194163093</x:v>
      </x:c>
      <x:c r="F17" s="73" t="n">
        <x:f aca="0">IFERROR(F14/F15,0)</x:f>
        <x:v>0.8410447751647607</x:v>
      </x:c>
      <x:c r="G17" s="73" t="n">
        <x:f aca="0">IFERROR(G14/G15,0)</x:f>
        <x:v>0.779671605709017</x:v>
      </x:c>
      <x:c r="H17" s="73" t="n">
        <x:f aca="0">IFERROR(H14/H15,0)</x:f>
        <x:v>0.7331372391499598</x:v>
      </x:c>
      <x:c r="I17" s="73" t="n">
        <x:f aca="0">IFERROR(I14/I15,0)</x:f>
        <x:v>0.6975509840840517</x:v>
      </x:c>
      <x:c r="J17" s="73" t="n">
        <x:f aca="0">IFERROR(J14/J15,0)</x:f>
        <x:v>0.6698170050445117</x:v>
      </x:c>
      <x:c r="K17" s="73" t="n">
        <x:f aca="0">IFERROR(K14/K15,0)</x:f>
        <x:v>0.6477606908834905</x:v>
      </x:c>
      <x:c r="L17" s="73" t="n">
        <x:f aca="0">IFERROR(L14/L15,0)</x:f>
        <x:v>0.6298859763479652</x:v>
      </x:c>
      <x:c r="M17" s="73" t="n">
        <x:f aca="0">IFERROR(M14/M15,0)</x:f>
        <x:v>0.6151550433112811</x:v>
      </x:c>
      <x:c r="N17" s="73" t="n">
        <x:f aca="0">IFERROR(N14/N15,0)</x:f>
        <x:v>0.6023598721531886</x:v>
      </x:c>
      <x:c r="O17" s="73" t="n">
        <x:f aca="0">IFERROR(O14/O15,0)</x:f>
        <x:v>0.5911218350953582</x:v>
      </x:c>
      <x:c r="P17" s="73" t="n">
        <x:f aca="0">IFERROR(P14/P15,0)</x:f>
        <x:v>0.5811554023024138</x:v>
      </x:c>
      <x:c r="Q17" s="73" t="n">
        <x:f aca="0">IFERROR(Q14/Q15,0)</x:f>
        <x:v>0.5723176753888087</x:v>
      </x:c>
      <x:c r="R17" s="73" t="n">
        <x:f aca="0">IFERROR(R14/R15,0)</x:f>
        <x:v>0.5644634231237505</x:v>
      </x:c>
      <x:c r="S17" s="73" t="n">
        <x:f aca="0">IFERROR(S14/S15,0)</x:f>
        <x:v>0.5574591532259958</x:v>
      </x:c>
      <x:c r="T17" s="73" t="n">
        <x:f aca="0">IFERROR(T14/T15,0)</x:f>
        <x:v>0.5511876221628024</x:v>
      </x:c>
      <x:c r="U17" s="73" t="n">
        <x:f aca="0">IFERROR(U14/U15,0)</x:f>
        <x:v>0.5455481301329261</x:v>
      </x:c>
      <x:c r="V17" s="73" t="n">
        <x:f aca="0">IFERROR(V14/V15,0)</x:f>
        <x:v>0.5404551147421448</x:v>
      </x:c>
      <x:c r="W17" s="73" t="n">
        <x:f aca="0">IFERROR(W14/W15,0)</x:f>
        <x:v>0.535836202048244</x:v>
      </x:c>
      <x:c r="X17" s="73" t="n">
        <x:f aca="0">IFERROR(X14/X15,0)</x:f>
        <x:v>0.5316302277515557</x:v>
      </x:c>
      <x:c r="Y17" s="73" t="n">
        <x:f aca="0">IFERROR(Y14/Y15,0)</x:f>
        <x:v>0.5277854357153992</x:v>
      </x:c>
      <x:c r="Z17" s="73" t="n">
        <x:f aca="0">IFERROR(Z14/Z15,0)</x:f>
        <x:v>0.6815930292065854</x:v>
      </x:c>
      <x:c r="AA17" s="73" t="n">
        <x:f aca="0">IFERROR(AA14/AA15,0)</x:f>
        <x:v>0.5499965950716201</x:v>
      </x:c>
      <x:c r="AB17" s="52"/>
      <x:c r="AC17" s="52"/>
    </x:row>
    <x:row r="18" ht="15" hidden="0">
      <x:c r="A18" s="52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  <x:c r="AB18" s="52"/>
      <x:c r="AC18" s="52"/>
    </x:row>
    <x:row r="19" ht="15" hidden="0">
      <x:c r="A19" s="58" t="s">
        <x:v>196</x:v>
      </x:c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  <x:c r="O19" s="58"/>
      <x:c r="P19" s="58"/>
      <x:c r="Q19" s="58"/>
      <x:c r="R19" s="58"/>
      <x:c r="S19" s="58"/>
      <x:c r="T19" s="58"/>
      <x:c r="U19" s="58"/>
      <x:c r="V19" s="58"/>
      <x:c r="W19" s="58"/>
      <x:c r="X19" s="58"/>
      <x:c r="Y19" s="58"/>
      <x:c r="Z19" s="58"/>
      <x:c r="AA19" s="58"/>
      <x:c r="AB19" s="59"/>
      <x:c r="AC19" s="59"/>
    </x:row>
    <x:row r="20" ht="15" hidden="0">
      <x:c r="A20" s="75" t="s">
        <x:v>197</x:v>
      </x:c>
      <x:c r="B20" s="76" t="n">
        <x:f aca="0">IFERROR(B15/'Operating Model'!B18,0)</x:f>
        <x:v>32.05202443299727</x:v>
      </x:c>
      <x:c r="C20" s="76" t="n">
        <x:f aca="0">IFERROR(C15/'Operating Model'!C18,0)</x:f>
        <x:v>32.9522453053367</x:v>
      </x:c>
      <x:c r="D20" s="76" t="n">
        <x:f aca="0">IFERROR(D15/'Operating Model'!D18,0)</x:f>
        <x:v>33.8410766162113</x:v>
      </x:c>
      <x:c r="E20" s="76" t="n">
        <x:f aca="0">IFERROR(E15/'Operating Model'!E18,0)</x:f>
        <x:v>40.447493640586465</x:v>
      </x:c>
      <x:c r="F20" s="76" t="n">
        <x:f aca="0">IFERROR(F15/'Operating Model'!F18,0)</x:f>
        <x:v>49.341588337106</x:v>
      </x:c>
      <x:c r="G20" s="76" t="n">
        <x:f aca="0">IFERROR(G15/'Operating Model'!G18,0)</x:f>
        <x:v>59.355583399434785</x:v>
      </x:c>
      <x:c r="H20" s="76" t="n">
        <x:f aca="0">IFERROR(H15/'Operating Model'!H18,0)</x:f>
        <x:v>69.96887932188348</x:v>
      </x:c>
      <x:c r="I20" s="76" t="n">
        <x:f aca="0">IFERROR(I15/'Operating Model'!I18,0)</x:f>
        <x:v>80.90454128523636</x:v>
      </x:c>
      <x:c r="J20" s="76" t="n">
        <x:f aca="0">IFERROR(J15/'Operating Model'!J18,0)</x:f>
        <x:v>91.99496914166942</x:v>
      </x:c>
      <x:c r="K20" s="76" t="n">
        <x:f aca="0">IFERROR(K15/'Operating Model'!K18,0)</x:f>
        <x:v>103.1282963456291</x:v>
      </x:c>
      <x:c r="L20" s="76" t="n">
        <x:f aca="0">IFERROR(L15/'Operating Model'!L18,0)</x:f>
        <x:v>114.22411961228495</x:v>
      </x:c>
      <x:c r="M20" s="76" t="n">
        <x:f aca="0">IFERROR(M15/'Operating Model'!M18,0)</x:f>
        <x:v>125.22142591353864</x:v>
      </x:c>
      <x:c r="N20" s="76" t="n">
        <x:f aca="0">IFERROR(N15/'Operating Model'!N18,0)</x:f>
        <x:v>136.60278667778456</x:v>
      </x:c>
      <x:c r="O20" s="76" t="n">
        <x:f aca="0">IFERROR(O15/'Operating Model'!O18,0)</x:f>
        <x:v>148.36225063889648</x:v>
      </x:c>
      <x:c r="P20" s="76" t="n">
        <x:f aca="0">IFERROR(P15/'Operating Model'!P18,0)</x:f>
        <x:v>160.49662733300943</x:v>
      </x:c>
      <x:c r="Q20" s="76" t="n">
        <x:f aca="0">IFERROR(Q15/'Operating Model'!Q18,0)</x:f>
        <x:v>172.9111643923776</x:v>
      </x:c>
      <x:c r="R20" s="76" t="n">
        <x:f aca="0">IFERROR(R15/'Operating Model'!R18,0)</x:f>
        <x:v>185.53181034987028</x:v>
      </x:c>
      <x:c r="S20" s="76" t="n">
        <x:f aca="0">IFERROR(S15/'Operating Model'!S18,0)</x:f>
        <x:v>198.29872335431986</x:v>
      </x:c>
      <x:c r="T20" s="76" t="n">
        <x:f aca="0">IFERROR(T15/'Operating Model'!T18,0)</x:f>
        <x:v>211.16219094358198</x:v>
      </x:c>
      <x:c r="U20" s="76" t="n">
        <x:f aca="0">IFERROR(U15/'Operating Model'!U18,0)</x:f>
        <x:v>224.07998303314417</x:v>
      </x:c>
      <x:c r="V20" s="76" t="n">
        <x:f aca="0">IFERROR(V15/'Operating Model'!V18,0)</x:f>
        <x:v>237.01558698568763</x:v>
      </x:c>
      <x:c r="W20" s="76" t="n">
        <x:f aca="0">IFERROR(W15/'Operating Model'!W18,0)</x:f>
        <x:v>249.93700174497098</x:v>
      </x:c>
      <x:c r="X20" s="76" t="n">
        <x:f aca="0">IFERROR(X15/'Operating Model'!X18,0)</x:f>
        <x:v>262.81589521408995</x:v>
      </x:c>
      <x:c r="Y20" s="76" t="n">
        <x:f aca="0">IFERROR(Y15/'Operating Model'!Y18,0)</x:f>
        <x:v>275.62700263709</x:v>
      </x:c>
      <x:c r="Z20" s="76" t="n">
        <x:f aca="0">AVERAGE(B20:M20)</x:f>
        <x:v>69.45268694599287</x:v>
      </x:c>
      <x:c r="AA20" s="76" t="n">
        <x:f aca="0">AVERAGE(N20:Y20)</x:f>
        <x:v>205.23675194206854</x:v>
      </x:c>
      <x:c r="AB20" s="52"/>
      <x:c r="AC20" s="52"/>
    </x:row>
    <x:row r="21" ht="23.850000381469727" hidden="0">
      <x:c r="A21" s="75" t="s">
        <x:v>198</x:v>
      </x:c>
      <x:c r="B21" s="76" t="n">
        <x:f aca="0">IFERROR(B15/'Operating Model'!B11,0)</x:f>
        <x:v>146.39625</x:v>
      </x:c>
      <x:c r="C21" s="76" t="n">
        <x:f aca="0">IFERROR(C15/'Operating Model'!C11,0)</x:f>
        <x:v>144.97492718446603</x:v>
      </x:c>
      <x:c r="D21" s="76" t="n">
        <x:f aca="0">IFERROR(D15/'Operating Model'!D11,0)</x:f>
        <x:v>143.6003924802111</x:v>
      </x:c>
      <x:c r="E21" s="76" t="n">
        <x:f aca="0">IFERROR(E15/'Operating Model'!E11,0)</x:f>
        <x:v>165.75712848853476</x:v>
      </x:c>
      <x:c r="F21" s="76" t="n">
        <x:f aca="0">IFERROR(F15/'Operating Model'!F11,0)</x:f>
        <x:v>195.53418178461257</x:v>
      </x:c>
      <x:c r="G21" s="76" t="n">
        <x:f aca="0">IFERROR(G15/'Operating Model'!G11,0)</x:f>
        <x:v>227.7472056974575</x:v>
      </x:c>
      <x:c r="H21" s="76" t="n">
        <x:f aca="0">IFERROR(H15/'Operating Model'!H11,0)</x:f>
        <x:v>260.2695401683192</x:v>
      </x:c>
      <x:c r="I21" s="76" t="n">
        <x:f aca="0">IFERROR(I15/'Operating Model'!I11,0)</x:f>
        <x:v>292.1153613502859</x:v>
      </x:c>
      <x:c r="J21" s="76" t="n">
        <x:f aca="0">IFERROR(J15/'Operating Model'!J11,0)</x:f>
        <x:v>322.8010497350907</x:v>
      </x:c>
      <x:c r="K21" s="76" t="n">
        <x:f aca="0">IFERROR(K15/'Operating Model'!K11,0)</x:f>
        <x:v>352.0900075358535</x:v>
      </x:c>
      <x:c r="L21" s="76" t="n">
        <x:f aca="0">IFERROR(L15/'Operating Model'!L11,0)</x:f>
        <x:v>379.87689817364594</x:v>
      </x:c>
      <x:c r="M21" s="76" t="n">
        <x:f aca="0">IFERROR(M15/'Operating Model'!M11,0)</x:f>
        <x:v>406.12996620050825</x:v>
      </x:c>
      <x:c r="N21" s="76" t="n">
        <x:f aca="0">IFERROR(N15/'Operating Model'!N11,0)</x:f>
        <x:v>431.86462866940093</x:v>
      </x:c>
      <x:c r="O21" s="76" t="n">
        <x:f aca="0">IFERROR(O15/'Operating Model'!O11,0)</x:f>
        <x:v>457.14370891363495</x:v>
      </x:c>
      <x:c r="P21" s="76" t="n">
        <x:f aca="0">IFERROR(P15/'Operating Model'!P11,0)</x:f>
        <x:v>482.0247229516489</x:v>
      </x:c>
      <x:c r="Q21" s="76" t="n">
        <x:f aca="0">IFERROR(Q15/'Operating Model'!Q11,0)</x:f>
        <x:v>506.287731297849</x:v>
      </x:c>
      <x:c r="R21" s="76" t="n">
        <x:f aca="0">IFERROR(R15/'Operating Model'!R11,0)</x:f>
        <x:v>529.7920832209497</x:v>
      </x:c>
      <x:c r="S21" s="76" t="n">
        <x:f aca="0">IFERROR(S15/'Operating Model'!S11,0)</x:f>
        <x:v>552.4502738021065</x:v>
      </x:c>
      <x:c r="T21" s="76" t="n">
        <x:f aca="0">IFERROR(T15/'Operating Model'!T11,0)</x:f>
        <x:v>574.211153557626</x:v>
      </x:c>
      <x:c r="U21" s="76" t="n">
        <x:f aca="0">IFERROR(U15/'Operating Model'!U11,0)</x:f>
        <x:v>595.048828235897</x:v>
      </x:c>
      <x:c r="V21" s="76" t="n">
        <x:f aca="0">IFERROR(V15/'Operating Model'!V11,0)</x:f>
        <x:v>614.9551373152259</x:v>
      </x:c>
      <x:c r="W21" s="76" t="n">
        <x:f aca="0">IFERROR(W15/'Operating Model'!W11,0)</x:f>
        <x:v>633.9344490020673</x:v>
      </x:c>
      <x:c r="X21" s="76" t="n">
        <x:f aca="0">IFERROR(X15/'Operating Model'!X11,0)</x:f>
        <x:v>651.9999929706006</x:v>
      </x:c>
      <x:c r="Y21" s="76" t="n">
        <x:f aca="0">IFERROR(Y15/'Operating Model'!Y11,0)</x:f>
        <x:v>669.1712367877562</x:v>
      </x:c>
      <x:c r="Z21" s="76" t="n">
        <x:f aca="0">AVERAGE(B21:M21)</x:f>
        <x:v>253.10774239991545</x:v>
      </x:c>
      <x:c r="AA21" s="76" t="n">
        <x:f aca="0">AVERAGE(N21:Y21)</x:f>
        <x:v>558.2403288937303</x:v>
      </x:c>
      <x:c r="AB21" s="52"/>
      <x:c r="AC21" s="52"/>
    </x:row>
    <x:row r="22" ht="15" hidden="0">
      <x:c r="A22" s="75" t="s">
        <x:v>199</x:v>
      </x:c>
      <x:c r="B22" s="77" t="n">
        <x:f aca="0">IFERROR(B9/'Operating Model'!B17,0)</x:f>
        <x:v>0.10237500000000001</x:v>
      </x:c>
      <x:c r="C22" s="77" t="n">
        <x:f aca="0">IFERROR(C9/'Operating Model'!C17,0)</x:f>
        <x:v>0.10390298507462686</x:v>
      </x:c>
      <x:c r="D22" s="77" t="n">
        <x:f aca="0">IFERROR(D9/'Operating Model'!D17,0)</x:f>
        <x:v>0.10540260789291483</x:v>
      </x:c>
      <x:c r="E22" s="77" t="n">
        <x:f aca="0">IFERROR(E9/'Operating Model'!E17,0)</x:f>
        <x:v>0.11446898570667713</x:v>
      </x:c>
      <x:c r="F22" s="77" t="n">
        <x:f aca="0">IFERROR(F9/'Operating Model'!F17,0)</x:f>
        <x:v>0.1263375052107258</x:v>
      </x:c>
      <x:c r="G22" s="77" t="n">
        <x:f aca="0">IFERROR(G9/'Operating Model'!G17,0)</x:f>
        <x:v>0.1394097649526963</x:v>
      </x:c>
      <x:c r="H22" s="77" t="n">
        <x:f aca="0">IFERROR(H9/'Operating Model'!H17,0)</x:f>
        <x:v>0.15299313123693323</x:v>
      </x:c>
      <x:c r="I22" s="77" t="n">
        <x:f aca="0">IFERROR(I9/'Operating Model'!I17,0)</x:f>
        <x:v>0.16673566133985165</x:v>
      </x:c>
      <x:c r="J22" s="77" t="n">
        <x:f aca="0">IFERROR(J9/'Operating Model'!J17,0)</x:f>
        <x:v>0.18043776298072714</x:v>
      </x:c>
      <x:c r="K22" s="77" t="n">
        <x:f aca="0">IFERROR(K9/'Operating Model'!K17,0)</x:f>
        <x:v>0.19397686389250285</x:v>
      </x:c>
      <x:c r="L22" s="77" t="n">
        <x:f aca="0">IFERROR(L9/'Operating Model'!L17,0)</x:f>
        <x:v>0.20727316643283267</x:v>
      </x:c>
      <x:c r="M22" s="77" t="n">
        <x:f aca="0">IFERROR(M9/'Operating Model'!M17,0)</x:f>
        <x:v>0.2202725126231424</x:v>
      </x:c>
      <x:c r="N22" s="77" t="n">
        <x:f aca="0">IFERROR(N9/'Operating Model'!N17,0)</x:f>
        <x:v>0.23352897686253785</x:v>
      </x:c>
      <x:c r="O22" s="77" t="n">
        <x:f aca="0">IFERROR(O9/'Operating Model'!O17,0)</x:f>
        <x:v>0.24703727883461615</x:v>
      </x:c>
      <x:c r="P22" s="77" t="n">
        <x:f aca="0">IFERROR(P9/'Operating Model'!P17,0)</x:f>
        <x:v>0.2607963621394218</x:v>
      </x:c>
      <x:c r="Q22" s="77" t="n">
        <x:f aca="0">IFERROR(Q9/'Operating Model'!Q17,0)</x:f>
        <x:v>0.2746963353378974</x:v>
      </x:c>
      <x:c r="R22" s="77" t="n">
        <x:f aca="0">IFERROR(R9/'Operating Model'!R17,0)</x:f>
        <x:v>0.2886557254009774</x:v>
      </x:c>
      <x:c r="S22" s="77" t="n">
        <x:f aca="0">IFERROR(S9/'Operating Model'!S17,0)</x:f>
        <x:v>0.3026125067027202</x:v>
      </x:c>
      <x:c r="T22" s="77" t="n">
        <x:f aca="0">IFERROR(T9/'Operating Model'!T17,0)</x:f>
        <x:v>0.3165183856226657</x:v>
      </x:c>
      <x:c r="U22" s="77" t="n">
        <x:f aca="0">IFERROR(U9/'Operating Model'!U17,0)</x:f>
        <x:v>0.3303350407745284</x:v>
      </x:c>
      <x:c r="V22" s="77" t="n">
        <x:f aca="0">IFERROR(V9/'Operating Model'!V17,0)</x:f>
        <x:v>0.3440315797440755</x:v>
      </x:c>
      <x:c r="W22" s="77" t="n">
        <x:f aca="0">IFERROR(W9/'Operating Model'!W17,0)</x:f>
        <x:v>0.35758277580447745</x:v>
      </x:c>
      <x:c r="X22" s="77" t="n">
        <x:f aca="0">IFERROR(X9/'Operating Model'!X17,0)</x:f>
        <x:v>0.3709678181068393</x:v>
      </x:c>
      <x:c r="Y22" s="77" t="n">
        <x:f aca="0">IFERROR(Y9/'Operating Model'!Y17,0)</x:f>
        <x:v>0.3841694078464122</x:v>
      </x:c>
      <x:c r="Z22" s="77" t="n">
        <x:f aca="0">AVERAGE(B22:M22)</x:f>
        <x:v>0.1511321622786359</x:v>
      </x:c>
      <x:c r="AA22" s="77" t="n">
        <x:f aca="0">AVERAGE(N22:Y22)</x:f>
        <x:v>0.3092443494314308</x:v>
      </x:c>
      <x:c r="AB22" s="52"/>
      <x:c r="AC22" s="52"/>
    </x:row>
    <x:row r="23" ht="15" hidden="0">
      <x:c r="A23" s="75" t="s">
        <x:v>200</x:v>
      </x:c>
      <x:c r="B23" s="77" t="n">
        <x:f aca="0">IFERROR(B7/'Operating Model'!B31,0)</x:f>
        <x:v>0</x:v>
      </x:c>
      <x:c r="C23" s="77" t="n">
        <x:f aca="0">IFERROR(C7/'Operating Model'!C31,0)</x:f>
        <x:v>0</x:v>
      </x:c>
      <x:c r="D23" s="77" t="n">
        <x:f aca="0">IFERROR(D7/'Operating Model'!D31,0)</x:f>
        <x:v>0</x:v>
      </x:c>
      <x:c r="E23" s="77" t="n">
        <x:f aca="0">IFERROR(E7/'Operating Model'!E31,0)</x:f>
        <x:v>1</x:v>
      </x:c>
      <x:c r="F23" s="77" t="n">
        <x:f aca="0">IFERROR(F7/'Operating Model'!F31,0)</x:f>
        <x:v>0.995016611295681</x:v>
      </x:c>
      <x:c r="G23" s="77" t="n">
        <x:f aca="0">IFERROR(G7/'Operating Model'!G31,0)</x:f>
        <x:v>0.9900837318594761</x:v>
      </x:c>
      <x:c r="H23" s="77" t="n">
        <x:f aca="0">IFERROR(H7/'Operating Model'!H31,0)</x:f>
        <x:v>0.9852037247365717</x:v>
      </x:c>
      <x:c r="I23" s="77" t="n">
        <x:f aca="0">IFERROR(I7/'Operating Model'!I31,0)</x:f>
        <x:v>0.9803788689308616</x:v>
      </x:c>
      <x:c r="J23" s="77" t="n">
        <x:f aca="0">IFERROR(J7/'Operating Model'!J31,0)</x:f>
        <x:v>0.9756113551999762</x:v>
      </x:c>
      <x:c r="K23" s="77" t="n">
        <x:f aca="0">IFERROR(K7/'Operating Model'!K31,0)</x:f>
        <x:v>0.9709032821380337</x:v>
      </x:c>
      <x:c r="L23" s="77" t="n">
        <x:f aca="0">IFERROR(L7/'Operating Model'!L31,0)</x:f>
        <x:v>0.9662566525612635</x:v>
      </x:c>
      <x:c r="M23" s="77" t="n">
        <x:f aca="0">IFERROR(M7/'Operating Model'!M31,0)</x:f>
        <x:v>0.9616733702099852</x:v>
      </x:c>
      <x:c r="N23" s="77" t="n">
        <x:f aca="0">IFERROR(N7/'Operating Model'!N31,0)</x:f>
        <x:v>0.9571552367786607</x:v>
      </x:c>
      <x:c r="O23" s="77" t="n">
        <x:f aca="0">IFERROR(O7/'Operating Model'!O31,0)</x:f>
        <x:v>0.952703949283898</x:v>
      </x:c>
      <x:c r="P23" s="77" t="n">
        <x:f aca="0">IFERROR(P7/'Operating Model'!P31,0)</x:f>
        <x:v>0.9483210977783882</x:v>
      </x:c>
      <x:c r="Q23" s="77" t="n">
        <x:f aca="0">IFERROR(Q7/'Operating Model'!Q31,0)</x:f>
        <x:v>0.9439701368642631</x:v>
      </x:c>
      <x:c r="R23" s="77" t="n">
        <x:f aca="0">IFERROR(R7/'Operating Model'!R31,0)</x:f>
        <x:v>0.939633317263034</x:v>
      </x:c>
      <x:c r="S23" s="77" t="n">
        <x:f aca="0">IFERROR(S7/'Operating Model'!S31,0)</x:f>
        <x:v>0.9353029346806325</x:v>
      </x:c>
      <x:c r="T23" s="77" t="n">
        <x:f aca="0">IFERROR(T7/'Operating Model'!T31,0)</x:f>
        <x:v>0.9309766462712822</x:v>
      </x:c>
      <x:c r="U23" s="77" t="n">
        <x:f aca="0">IFERROR(U7/'Operating Model'!U31,0)</x:f>
        <x:v>0.9266549330069916</x:v>
      </x:c>
      <x:c r="V23" s="77" t="n">
        <x:f aca="0">IFERROR(V7/'Operating Model'!V31,0)</x:f>
        <x:v>0.9223397102814574</x:v>
      </x:c>
      <x:c r="W23" s="77" t="n">
        <x:f aca="0">IFERROR(W7/'Operating Model'!W31,0)</x:f>
        <x:v>0.9180335626534969</x:v>
      </x:c>
      <x:c r="X23" s="77" t="n">
        <x:f aca="0">IFERROR(X7/'Operating Model'!X31,0)</x:f>
        <x:v>0.9137393228844269</x:v>
      </x:c>
      <x:c r="Y23" s="77" t="n">
        <x:f aca="0">IFERROR(Y7/'Operating Model'!Y31,0)</x:f>
        <x:v>0.9094598432234292</x:v>
      </x:c>
      <x:c r="Z23" s="77" t="n">
        <x:f aca="0">AVERAGE(B23:M23)</x:f>
        <x:v>0.7354272997443206</x:v>
      </x:c>
      <x:c r="AA23" s="77" t="n">
        <x:f aca="0">AVERAGE(N23:Y23)</x:f>
        <x:v>0.9331908909141634</x:v>
      </x:c>
      <x:c r="AB23" s="52"/>
      <x:c r="AC23" s="52"/>
    </x:row>
    <x:row r="24" ht="15" hidden="0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  <x:c r="AA24" s="52"/>
      <x:c r="AB24" s="52"/>
      <x:c r="AC24" s="52"/>
    </x:row>
    <x:row r="25" ht="15" hidden="0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  <x:c r="AA25" s="78"/>
      <x:c r="AB25" s="78"/>
      <x:c r="AC25" s="78"/>
    </x:row>
    <x:row r="26" ht="15" hidden="0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  <x:c r="AA26" s="78"/>
      <x:c r="AB26" s="78"/>
      <x:c r="AC26" s="78"/>
    </x:row>
    <x:row r="27" ht="15" hidden="0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52"/>
      <x:c r="AC27" s="52"/>
    </x:row>
    <x:row r="28" ht="15" hidden="0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52"/>
      <x:c r="AC28" s="52"/>
    </x:row>
    <x:row r="29" ht="15" hidden="0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  <x:c r="AA29" s="52"/>
      <x:c r="AB29" s="52"/>
      <x:c r="AC29" s="52"/>
    </x:row>
    <x:row r="30" ht="15" hidden="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  <x:c r="AA30" s="52"/>
      <x:c r="AB30" s="52"/>
      <x:c r="AC30" s="52"/>
    </x:row>
    <x:row r="31" ht="15" hidden="0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  <x:c r="AA31" s="52"/>
      <x:c r="AB31" s="52"/>
      <x:c r="AC31" s="52"/>
    </x:row>
    <x:row r="32" ht="15" hidden="0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  <x:c r="AA32" s="52"/>
      <x:c r="AB32" s="52"/>
      <x:c r="AC32" s="52"/>
    </x:row>
    <x:row r="33" ht="15" hidden="0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  <x:c r="AA33" s="52"/>
      <x:c r="AB33" s="52"/>
      <x:c r="AC33" s="52"/>
    </x:row>
    <x:row r="34" ht="15" hidden="0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  <x:c r="AA34" s="52"/>
      <x:c r="AB34" s="52"/>
      <x:c r="AC34" s="52"/>
    </x:row>
    <x:row r="35" ht="15" hidden="0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  <x:c r="AA35" s="52"/>
      <x:c r="AB35" s="52"/>
      <x:c r="AC35" s="52"/>
    </x:row>
    <x:row r="36" ht="15" hidden="0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52"/>
      <x:c r="AC36" s="52"/>
    </x:row>
    <x:row r="37" ht="15" hidden="0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52"/>
      <x:c r="AC37" s="52"/>
    </x:row>
    <x:row r="38" ht="15" hidden="0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52"/>
      <x:c r="AC38" s="52"/>
    </x:row>
    <x:row r="39" ht="15" hidden="0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52"/>
      <x:c r="AC39" s="52"/>
    </x:row>
    <x:row r="40" ht="15" hidden="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52"/>
      <x:c r="AC40" s="52"/>
    </x:row>
    <x:row r="41" ht="15" hidden="0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52"/>
      <x:c r="AC41" s="52"/>
    </x:row>
    <x:row r="42" ht="15" hidden="0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52"/>
      <x:c r="AC42" s="52"/>
    </x:row>
    <x:row r="43" ht="15" hidden="0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52"/>
      <x:c r="AC43" s="52"/>
    </x:row>
    <x:row r="44" ht="15" hidden="0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52"/>
      <x:c r="AC44" s="52"/>
    </x:row>
    <x:row r="45" ht="15" hidden="0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52"/>
      <x:c r="AC45" s="52"/>
    </x:row>
  </x:sheetData>
  <x:pageMargins left="0.7" right="0.7" top="0.75" bottom="0.75" header="0.3" footer="0.3"/>
  <x:drawing xmlns:r="http://schemas.openxmlformats.org/officeDocument/2006/relationships" r:id="Rcb035ac5afb94f3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3203125" defaultRowHeight="15"/>
  <x:cols>
    <x:col min="1" max="1" width="40" hidden="0" customWidth="1"/>
    <x:col min="2" max="25" width="11" hidden="0" customWidth="1"/>
    <x:col min="26" max="27" width="14" hidden="0" customWidth="1"/>
    <x:col min="28" max="28" width="46" hidden="0" customWidth="1"/>
    <x:col min="29" max="29" width="29" hidden="0" customWidth="1"/>
  </x:cols>
  <x:sheetData>
    <x:row r="1" ht="30.75" hidden="0" customHeight="1">
      <x:c r="A1" s="49" t="s">
        <x:v>201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2"/>
      <x:c r="AC1" s="2"/>
    </x:row>
    <x:row r="2" ht="15" hidden="0" customHeight="1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  <x:c r="Z2" s="50"/>
      <x:c r="AA2" s="50"/>
      <x:c r="AB2" s="51"/>
      <x:c r="AC2" s="51"/>
    </x:row>
    <x:row r="3" ht="13.5" hidden="0" customHeight="1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  <x:c r="AA3" s="52"/>
      <x:c r="AB3" s="52"/>
      <x:c r="AC3" s="52"/>
    </x:row>
    <x:row r="4" ht="15.75" hidden="0" customHeight="1">
      <x:c r="A4" s="67" t="s">
        <x:v>84</x:v>
      </x:c>
      <x:c r="B4" s="54" t="s">
        <x:v>120</x:v>
      </x:c>
      <x:c r="C4" s="54" t="s">
        <x:v>121</x:v>
      </x:c>
      <x:c r="D4" s="54" t="s">
        <x:v>122</x:v>
      </x:c>
      <x:c r="E4" s="54" t="s">
        <x:v>123</x:v>
      </x:c>
      <x:c r="F4" s="54" t="s">
        <x:v>124</x:v>
      </x:c>
      <x:c r="G4" s="54" t="s">
        <x:v>125</x:v>
      </x:c>
      <x:c r="H4" s="54" t="s">
        <x:v>126</x:v>
      </x:c>
      <x:c r="I4" s="54" t="s">
        <x:v>127</x:v>
      </x:c>
      <x:c r="J4" s="54" t="s">
        <x:v>128</x:v>
      </x:c>
      <x:c r="K4" s="54" t="s">
        <x:v>129</x:v>
      </x:c>
      <x:c r="L4" s="54" t="s">
        <x:v>130</x:v>
      </x:c>
      <x:c r="M4" s="54" t="s">
        <x:v>131</x:v>
      </x:c>
      <x:c r="N4" s="54" t="s">
        <x:v>132</x:v>
      </x:c>
      <x:c r="O4" s="54" t="s">
        <x:v>133</x:v>
      </x:c>
      <x:c r="P4" s="54" t="s">
        <x:v>134</x:v>
      </x:c>
      <x:c r="Q4" s="54" t="s">
        <x:v>135</x:v>
      </x:c>
      <x:c r="R4" s="54" t="s">
        <x:v>136</x:v>
      </x:c>
      <x:c r="S4" s="54" t="s">
        <x:v>137</x:v>
      </x:c>
      <x:c r="T4" s="54" t="s">
        <x:v>138</x:v>
      </x:c>
      <x:c r="U4" s="54" t="s">
        <x:v>139</x:v>
      </x:c>
      <x:c r="V4" s="54" t="s">
        <x:v>140</x:v>
      </x:c>
      <x:c r="W4" s="54" t="s">
        <x:v>141</x:v>
      </x:c>
      <x:c r="X4" s="54" t="s">
        <x:v>142</x:v>
      </x:c>
      <x:c r="Y4" s="54" t="s">
        <x:v>143</x:v>
      </x:c>
      <x:c r="Z4" s="54" t="s">
        <x:v>144</x:v>
      </x:c>
      <x:c r="AA4" s="54" t="s">
        <x:v>145</x:v>
      </x:c>
      <x:c r="AB4" s="55"/>
      <x:c r="AC4" s="55"/>
    </x:row>
    <x:row r="5" ht="13.5" hidden="0" customHeight="1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  <x:c r="AA5" s="52"/>
      <x:c r="AB5" s="52"/>
      <x:c r="AC5" s="52"/>
    </x:row>
    <x:row r="6" ht="15" hidden="0" customHeight="1">
      <x:c r="A6" s="58" t="s">
        <x:v>202</x:v>
      </x:c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8"/>
      <x:c r="AA6" s="58"/>
      <x:c r="AB6" s="59"/>
      <x:c r="AC6" s="59"/>
    </x:row>
    <x:row r="7" ht="15" hidden="0" customHeight="1">
      <x:c r="A7" s="52" t="s">
        <x:v>203</x:v>
      </x:c>
      <x:c r="B7" s="68" t="n">
        <x:f aca="0">'Operating Model'!B9</x:f>
        <x:v>12973.0073196418</x:v>
      </x:c>
      <x:c r="C7" s="68" t="n">
        <x:f aca="0">'Operating Model'!C9</x:f>
        <x:v>13751.387758820309</x:v>
      </x:c>
      <x:c r="D7" s="68" t="n">
        <x:f aca="0">'Operating Model'!D9</x:f>
        <x:v>14576.471024349528</x:v>
      </x:c>
      <x:c r="E7" s="68" t="n">
        <x:f aca="0">'Operating Model'!E9</x:f>
        <x:v>15451.059285810501</x:v>
      </x:c>
      <x:c r="F7" s="68" t="n">
        <x:f aca="0">'Operating Model'!F9</x:f>
        <x:v>16378.122842959132</x:v>
      </x:c>
      <x:c r="G7" s="68" t="n">
        <x:f aca="0">'Operating Model'!G9</x:f>
        <x:v>17360.81021353668</x:v>
      </x:c>
      <x:c r="H7" s="68" t="n">
        <x:f aca="0">'Operating Model'!H9</x:f>
        <x:v>18402.45882634888</x:v>
      </x:c>
      <x:c r="I7" s="68" t="n">
        <x:f aca="0">'Operating Model'!I9</x:f>
        <x:v>19506.606355929813</x:v>
      </x:c>
      <x:c r="J7" s="68" t="n">
        <x:f aca="0">'Operating Model'!J9</x:f>
        <x:v>20677.002737285602</x:v>
      </x:c>
      <x:c r="K7" s="68" t="n">
        <x:f aca="0">'Operating Model'!K9</x:f>
        <x:v>21917.62290152274</x:v>
      </x:c>
      <x:c r="L7" s="68" t="n">
        <x:f aca="0">'Operating Model'!L9</x:f>
        <x:v>23232.680275614104</x:v>
      </x:c>
      <x:c r="M7" s="68" t="n">
        <x:f aca="0">'Operating Model'!M9</x:f>
        <x:v>24626.641092150956</x:v>
      </x:c>
      <x:c r="N7" s="68" t="n">
        <x:f aca="0">'Operating Model'!N9</x:f>
        <x:v>25242.307119454726</x:v>
      </x:c>
      <x:c r="O7" s="68" t="n">
        <x:f aca="0">'Operating Model'!O9</x:f>
        <x:v>25873.364797441092</x:v>
      </x:c>
      <x:c r="P7" s="68" t="n">
        <x:f aca="0">'Operating Model'!P9</x:f>
        <x:v>26520.198917377118</x:v>
      </x:c>
      <x:c r="Q7" s="68" t="n">
        <x:f aca="0">'Operating Model'!Q9</x:f>
        <x:v>27183.203890311546</x:v>
      </x:c>
      <x:c r="R7" s="68" t="n">
        <x:f aca="0">'Operating Model'!R9</x:f>
        <x:v>27862.78398756933</x:v>
      </x:c>
      <x:c r="S7" s="68" t="n">
        <x:f aca="0">'Operating Model'!S9</x:f>
        <x:v>28559.353587258563</x:v>
      </x:c>
      <x:c r="T7" s="68" t="n">
        <x:f aca="0">'Operating Model'!T9</x:f>
        <x:v>29273.337426940023</x:v>
      </x:c>
      <x:c r="U7" s="68" t="n">
        <x:f aca="0">'Operating Model'!U9</x:f>
        <x:v>30005.170862613522</x:v>
      </x:c>
      <x:c r="V7" s="68" t="n">
        <x:f aca="0">'Operating Model'!V9</x:f>
        <x:v>30755.300134178855</x:v>
      </x:c>
      <x:c r="W7" s="68" t="n">
        <x:f aca="0">'Operating Model'!W9</x:f>
        <x:v>31524.182637533326</x:v>
      </x:c>
      <x:c r="X7" s="68" t="n">
        <x:f aca="0">'Operating Model'!X9</x:f>
        <x:v>32312.287203471657</x:v>
      </x:c>
      <x:c r="Y7" s="68" t="n">
        <x:f aca="0">'Operating Model'!Y9</x:f>
        <x:v>33120.09438355845</x:v>
      </x:c>
      <x:c r="Z7" s="68" t="n">
        <x:f aca="0">SUM(B7:M7)</x:f>
        <x:v>218853.87063397004</x:v>
      </x:c>
      <x:c r="AA7" s="68" t="n">
        <x:f aca="0">SUM(N7:Y7)</x:f>
        <x:v>348231.5849477082</x:v>
      </x:c>
      <x:c r="AB7" s="52"/>
      <x:c r="AC7" s="52"/>
    </x:row>
    <x:row r="8" ht="15" hidden="0" customHeight="1">
      <x:c r="A8" s="52" t="s">
        <x:v>204</x:v>
      </x:c>
      <x:c r="B8" s="69" t="n">
        <x:f aca="0">Assumptions!$B$36*(1+Assumptions!$B$40)^(COLUMN()-COLUMN($B$8))</x:f>
        <x:v>80.661662841459</x:v>
      </x:c>
      <x:c r="C8" s="69" t="n">
        <x:f aca="0">Assumptions!$B$36*(1+Assumptions!$B$40)^(COLUMN()-COLUMN($B$8))</x:f>
        <x:v>82.27489609828815</x:v>
      </x:c>
      <x:c r="D8" s="69" t="n">
        <x:f aca="0">Assumptions!$B$36*(1+Assumptions!$B$40)^(COLUMN()-COLUMN($B$8))</x:f>
        <x:v>83.92039402025392</x:v>
      </x:c>
      <x:c r="E8" s="69" t="n">
        <x:f aca="0">Assumptions!$B$36*(1+Assumptions!$B$40)^(COLUMN()-COLUMN($B$8))</x:f>
        <x:v>85.59880190065901</x:v>
      </x:c>
      <x:c r="F8" s="69" t="n">
        <x:f aca="0">Assumptions!$B$36*(1+Assumptions!$B$40)^(COLUMN()-COLUMN($B$8))</x:f>
        <x:v>87.31077793867217</x:v>
      </x:c>
      <x:c r="G8" s="69" t="n">
        <x:f aca="0">Assumptions!$B$36*(1+Assumptions!$B$40)^(COLUMN()-COLUMN($B$8))</x:f>
        <x:v>89.05699349744562</x:v>
      </x:c>
      <x:c r="H8" s="69" t="n">
        <x:f aca="0">Assumptions!$B$36*(1+Assumptions!$B$40)^(COLUMN()-COLUMN($B$8))</x:f>
        <x:v>90.83813336739453</x:v>
      </x:c>
      <x:c r="I8" s="69" t="n">
        <x:f aca="0">Assumptions!$B$36*(1+Assumptions!$B$40)^(COLUMN()-COLUMN($B$8))</x:f>
        <x:v>92.65489603474242</x:v>
      </x:c>
      <x:c r="J8" s="69" t="n">
        <x:f aca="0">Assumptions!$B$36*(1+Assumptions!$B$40)^(COLUMN()-COLUMN($B$8))</x:f>
        <x:v>94.50799395543729</x:v>
      </x:c>
      <x:c r="K8" s="69" t="n">
        <x:f aca="0">Assumptions!$B$36*(1+Assumptions!$B$40)^(COLUMN()-COLUMN($B$8))</x:f>
        <x:v>96.39815383454604</x:v>
      </x:c>
      <x:c r="L8" s="69" t="n">
        <x:f aca="0">Assumptions!$B$36*(1+Assumptions!$B$40)^(COLUMN()-COLUMN($B$8))</x:f>
        <x:v>98.32611691123695</x:v>
      </x:c>
      <x:c r="M8" s="69" t="n">
        <x:f aca="0">Assumptions!$B$36*(1+Assumptions!$B$40)^(COLUMN()-COLUMN($B$8))</x:f>
        <x:v>100.29263924946169</x:v>
      </x:c>
      <x:c r="N8" s="69" t="n">
        <x:f t="array" aca="0" ref="N8:N8">Assumptions!$E$38/SUMPRODUCT($N$7:$Y$7,(1+Assumptions!$B$40)^(COLUMN($N$7:$Y$7)-COLUMN($N$7)))</x:f>
        <x:v>0</x:v>
      </x:c>
      <x:c r="O8" s="69" t="n">
        <x:f aca="0">$N$8*(1+Assumptions!$B$40)^(COLUMN()-COLUMN($N$8))</x:f>
        <x:v>0</x:v>
      </x:c>
      <x:c r="P8" s="69" t="n">
        <x:f aca="0">$N$8*(1+Assumptions!$B$40)^(COLUMN()-COLUMN($N$8))</x:f>
        <x:v>0</x:v>
      </x:c>
      <x:c r="Q8" s="69" t="n">
        <x:f aca="0">$N$8*(1+Assumptions!$B$40)^(COLUMN()-COLUMN($N$8))</x:f>
        <x:v>0</x:v>
      </x:c>
      <x:c r="R8" s="69" t="n">
        <x:f aca="0">$N$8*(1+Assumptions!$B$40)^(COLUMN()-COLUMN($N$8))</x:f>
        <x:v>0</x:v>
      </x:c>
      <x:c r="S8" s="69" t="n">
        <x:f aca="0">$N$8*(1+Assumptions!$B$40)^(COLUMN()-COLUMN($N$8))</x:f>
        <x:v>0</x:v>
      </x:c>
      <x:c r="T8" s="69" t="n">
        <x:f aca="0">$N$8*(1+Assumptions!$B$40)^(COLUMN()-COLUMN($N$8))</x:f>
        <x:v>0</x:v>
      </x:c>
      <x:c r="U8" s="69" t="n">
        <x:f aca="0">$N$8*(1+Assumptions!$B$40)^(COLUMN()-COLUMN($N$8))</x:f>
        <x:v>0</x:v>
      </x:c>
      <x:c r="V8" s="69" t="n">
        <x:f aca="0">$N$8*(1+Assumptions!$B$40)^(COLUMN()-COLUMN($N$8))</x:f>
        <x:v>0</x:v>
      </x:c>
      <x:c r="W8" s="69" t="n">
        <x:f aca="0">$N$8*(1+Assumptions!$B$40)^(COLUMN()-COLUMN($N$8))</x:f>
        <x:v>0</x:v>
      </x:c>
      <x:c r="X8" s="69" t="n">
        <x:f aca="0">$N$8*(1+Assumptions!$B$40)^(COLUMN()-COLUMN($N$8))</x:f>
        <x:v>0</x:v>
      </x:c>
      <x:c r="Y8" s="69" t="n">
        <x:f aca="0">$N$8*(1+Assumptions!$B$40)^(COLUMN()-COLUMN($N$8))</x:f>
        <x:v>0</x:v>
      </x:c>
      <x:c r="Z8" s="69" t="n">
        <x:f aca="0">AVERAGE(B8:M8)</x:f>
        <x:v>90.15345497079973</x:v>
      </x:c>
      <x:c r="AA8" s="69" t="n">
        <x:f aca="0">AVERAGE(N8:Y8)</x:f>
        <x:v>0</x:v>
      </x:c>
      <x:c r="AB8" s="52"/>
      <x:c r="AC8" s="52"/>
    </x:row>
    <x:row r="9" ht="15" hidden="0" customHeight="1">
      <x:c r="A9" s="52" t="s">
        <x:v>45</x:v>
      </x:c>
      <x:c r="B9" s="79" t="n">
        <x:f aca="0">Assumptions!$B$40</x:f>
        <x:v>0.02</x:v>
      </x:c>
      <x:c r="C9" s="79" t="n">
        <x:f aca="0">Assumptions!$B$40</x:f>
        <x:v>0.02</x:v>
      </x:c>
      <x:c r="D9" s="79" t="n">
        <x:f aca="0">Assumptions!$B$40</x:f>
        <x:v>0.02</x:v>
      </x:c>
      <x:c r="E9" s="79" t="n">
        <x:f aca="0">Assumptions!$B$40</x:f>
        <x:v>0.02</x:v>
      </x:c>
      <x:c r="F9" s="79" t="n">
        <x:f aca="0">Assumptions!$B$40</x:f>
        <x:v>0.02</x:v>
      </x:c>
      <x:c r="G9" s="79" t="n">
        <x:f aca="0">Assumptions!$B$40</x:f>
        <x:v>0.02</x:v>
      </x:c>
      <x:c r="H9" s="79" t="n">
        <x:f aca="0">Assumptions!$B$40</x:f>
        <x:v>0.02</x:v>
      </x:c>
      <x:c r="I9" s="79" t="n">
        <x:f aca="0">Assumptions!$B$40</x:f>
        <x:v>0.02</x:v>
      </x:c>
      <x:c r="J9" s="79" t="n">
        <x:f aca="0">Assumptions!$B$40</x:f>
        <x:v>0.02</x:v>
      </x:c>
      <x:c r="K9" s="79" t="n">
        <x:f aca="0">Assumptions!$B$40</x:f>
        <x:v>0.02</x:v>
      </x:c>
      <x:c r="L9" s="79" t="n">
        <x:f aca="0">Assumptions!$B$40</x:f>
        <x:v>0.02</x:v>
      </x:c>
      <x:c r="M9" s="79" t="n">
        <x:f aca="0">Assumptions!$B$40</x:f>
        <x:v>0.02</x:v>
      </x:c>
      <x:c r="N9" s="79" t="n">
        <x:f aca="0">Assumptions!$B$40</x:f>
        <x:v>0.02</x:v>
      </x:c>
      <x:c r="O9" s="79" t="n">
        <x:f aca="0">Assumptions!$B$40</x:f>
        <x:v>0.02</x:v>
      </x:c>
      <x:c r="P9" s="79" t="n">
        <x:f aca="0">Assumptions!$B$40</x:f>
        <x:v>0.02</x:v>
      </x:c>
      <x:c r="Q9" s="79" t="n">
        <x:f aca="0">Assumptions!$B$40</x:f>
        <x:v>0.02</x:v>
      </x:c>
      <x:c r="R9" s="79" t="n">
        <x:f aca="0">Assumptions!$B$40</x:f>
        <x:v>0.02</x:v>
      </x:c>
      <x:c r="S9" s="79" t="n">
        <x:f aca="0">Assumptions!$B$40</x:f>
        <x:v>0.02</x:v>
      </x:c>
      <x:c r="T9" s="79" t="n">
        <x:f aca="0">Assumptions!$B$40</x:f>
        <x:v>0.02</x:v>
      </x:c>
      <x:c r="U9" s="79" t="n">
        <x:f aca="0">Assumptions!$B$40</x:f>
        <x:v>0.02</x:v>
      </x:c>
      <x:c r="V9" s="79" t="n">
        <x:f aca="0">Assumptions!$B$40</x:f>
        <x:v>0.02</x:v>
      </x:c>
      <x:c r="W9" s="79" t="n">
        <x:f aca="0">Assumptions!$B$40</x:f>
        <x:v>0.02</x:v>
      </x:c>
      <x:c r="X9" s="79" t="n">
        <x:f aca="0">Assumptions!$B$40</x:f>
        <x:v>0.02</x:v>
      </x:c>
      <x:c r="Y9" s="79" t="n">
        <x:f aca="0">Assumptions!$B$40</x:f>
        <x:v>0.02</x:v>
      </x:c>
      <x:c r="Z9" s="79" t="n">
        <x:f aca="0">AVERAGE(B9:M9)</x:f>
        <x:v>0.019999999999999997</x:v>
      </x:c>
      <x:c r="AA9" s="79" t="n">
        <x:f aca="0">AVERAGE(N9:Y9)</x:f>
        <x:v>0.019999999999999997</x:v>
      </x:c>
      <x:c r="AB9" s="52"/>
      <x:c r="AC9" s="52"/>
    </x:row>
    <x:row r="10" ht="15" hidden="0" customHeight="1">
      <x:c r="A10" s="52" t="s">
        <x:v>157</x:v>
      </x:c>
      <x:c r="B10" s="68" t="n">
        <x:f aca="0">'Operating Model'!B18</x:f>
        <x:v>10048.40585571344</x:v>
      </x:c>
      <x:c r="C10" s="68" t="n">
        <x:f aca="0">'Operating Model'!C18</x:f>
        <x:v>19938.74359431261</x:v>
      </x:c>
      <x:c r="D10" s="68" t="n">
        <x:f aca="0">'Operating Model'!D18</x:f>
        <x:v>29720.26192624723</x:v>
      </x:c>
      <x:c r="E10" s="68" t="n">
        <x:f aca="0">'Operating Model'!E18</x:f>
        <x:v>39440.57311079584</x:v>
      </x:c>
      <x:c r="F10" s="68" t="n">
        <x:f aca="0">'Operating Model'!F18</x:f>
        <x:v>49145.916716399486</x:v>
      </x:c>
      <x:c r="G10" s="68" t="n">
        <x:f aca="0">'Operating Model'!G18</x:f>
        <x:v>58881.41051894787</x:v>
      </x:c>
      <x:c r="H10" s="68" t="n">
        <x:f aca="0">'Operating Model'!H18</x:f>
        <x:v>68691.29004790276</x:v>
      </x:c>
      <x:c r="I10" s="68" t="n">
        <x:f aca="0">'Operating Model'!I18</x:f>
        <x:v>78619.13819887732</x:v>
      </x:c>
      <x:c r="J10" s="68" t="n">
        <x:f aca="0">'Operating Model'!J18</x:f>
        <x:v>88708.10624906475</x:v>
      </x:c>
      <x:c r="K10" s="68" t="n">
        <x:f aca="0">'Operating Model'!K18</x:f>
        <x:v>99001.12753810531</x:v>
      </x:c>
      <x:c r="L10" s="68" t="n">
        <x:f aca="0">'Operating Model'!L18</x:f>
        <x:v>109541.12501103777</x:v>
      </x:c>
      <x:c r="M10" s="68" t="n">
        <x:f aca="0">'Operating Model'!M18</x:f>
        <x:v>120371.21376138783</x:v>
      </x:c>
      <x:c r="N10" s="68" t="n">
        <x:f aca="0">'Operating Model'!N18</x:f>
        <x:v>130867.27905851105</x:v>
      </x:c>
      <x:c r="O10" s="68" t="n">
        <x:f aca="0">'Operating Model'!O18</x:f>
        <x:v>141067.22491093463</x:v>
      </x:c>
      <x:c r="P10" s="68" t="n">
        <x:f aca="0">'Operating Model'!P18</x:f>
        <x:v>151006.30893275532</x:v>
      </x:c>
      <x:c r="Q10" s="68" t="n">
        <x:f aca="0">'Operating Model'!Q18</x:f>
        <x:v>160717.35838470294</x:v>
      </x:c>
      <x:c r="R10" s="68" t="n">
        <x:f aca="0">'Operating Model'!R18</x:f>
        <x:v>170230.9693060889</x:v>
      </x:c>
      <x:c r="S10" s="68" t="n">
        <x:f aca="0">'Operating Model'!S18</x:f>
        <x:v>179575.6900864265</x:v>
      </x:c>
      <x:c r="T10" s="68" t="n">
        <x:f aca="0">'Operating Model'!T18</x:f>
        <x:v>188778.19071817325</x:v>
      </x:c>
      <x:c r="U10" s="68" t="n">
        <x:f aca="0">'Operating Model'!U18</x:f>
        <x:v>197863.4188732765</x:v>
      </x:c>
      <x:c r="V10" s="68" t="n">
        <x:f aca="0">'Operating Model'!V18</x:f>
        <x:v>206854.74385531872</x:v>
      </x:c>
      <x:c r="W10" s="68" t="n">
        <x:f aca="0">'Operating Model'!W18</x:f>
        <x:v>215774.08939542674</x:v>
      </x:c>
      <x:c r="X10" s="68" t="n">
        <x:f aca="0">'Operating Model'!X18</x:f>
        <x:v>224642.05618315446</x:v>
      </x:c>
      <x:c r="Y10" s="68" t="n">
        <x:f aca="0">'Operating Model'!Y18</x:f>
        <x:v>233478.0349527323</x:v>
      </x:c>
      <x:c r="Z10" s="68" t="n">
        <x:f aca="0">M10</x:f>
        <x:v>120371.21376138783</x:v>
      </x:c>
      <x:c r="AA10" s="68" t="n">
        <x:f aca="0">Y10</x:f>
        <x:v>233478.0349527323</x:v>
      </x:c>
      <x:c r="AB10" s="52"/>
      <x:c r="AC10" s="52"/>
    </x:row>
    <x:row r="11" ht="15" hidden="0" customHeight="1">
      <x:c r="A11" s="52" t="s">
        <x:v>205</x:v>
      </x:c>
      <x:c r="B11" s="69" t="n">
        <x:f aca="0">Assumptions!$B$43</x:f>
        <x:v>5</x:v>
      </x:c>
      <x:c r="C11" s="69" t="n">
        <x:f aca="0">Assumptions!$B$43</x:f>
        <x:v>5</x:v>
      </x:c>
      <x:c r="D11" s="69" t="n">
        <x:f aca="0">Assumptions!$B$43</x:f>
        <x:v>5</x:v>
      </x:c>
      <x:c r="E11" s="69" t="n">
        <x:f aca="0">Assumptions!$B$43</x:f>
        <x:v>5</x:v>
      </x:c>
      <x:c r="F11" s="69" t="n">
        <x:f aca="0">Assumptions!$B$43</x:f>
        <x:v>5</x:v>
      </x:c>
      <x:c r="G11" s="69" t="n">
        <x:f aca="0">Assumptions!$B$43</x:f>
        <x:v>5</x:v>
      </x:c>
      <x:c r="H11" s="69" t="n">
        <x:f aca="0">Assumptions!$B$43</x:f>
        <x:v>5</x:v>
      </x:c>
      <x:c r="I11" s="69" t="n">
        <x:f aca="0">Assumptions!$B$43</x:f>
        <x:v>5</x:v>
      </x:c>
      <x:c r="J11" s="69" t="n">
        <x:f aca="0">Assumptions!$B$43</x:f>
        <x:v>5</x:v>
      </x:c>
      <x:c r="K11" s="69" t="n">
        <x:f aca="0">Assumptions!$B$43</x:f>
        <x:v>5</x:v>
      </x:c>
      <x:c r="L11" s="69" t="n">
        <x:f aca="0">Assumptions!$B$43</x:f>
        <x:v>5</x:v>
      </x:c>
      <x:c r="M11" s="69" t="n">
        <x:f aca="0">Assumptions!$B$43</x:f>
        <x:v>5</x:v>
      </x:c>
      <x:c r="N11" s="69" t="n">
        <x:f aca="0">Assumptions!$B$43</x:f>
        <x:v>5</x:v>
      </x:c>
      <x:c r="O11" s="69" t="n">
        <x:f aca="0">Assumptions!$B$43</x:f>
        <x:v>5</x:v>
      </x:c>
      <x:c r="P11" s="69" t="n">
        <x:f aca="0">Assumptions!$B$43</x:f>
        <x:v>5</x:v>
      </x:c>
      <x:c r="Q11" s="69" t="n">
        <x:f aca="0">Assumptions!$B$43</x:f>
        <x:v>5</x:v>
      </x:c>
      <x:c r="R11" s="69" t="n">
        <x:f aca="0">Assumptions!$B$43</x:f>
        <x:v>5</x:v>
      </x:c>
      <x:c r="S11" s="69" t="n">
        <x:f aca="0">Assumptions!$B$43</x:f>
        <x:v>5</x:v>
      </x:c>
      <x:c r="T11" s="69" t="n">
        <x:f aca="0">Assumptions!$B$43</x:f>
        <x:v>5</x:v>
      </x:c>
      <x:c r="U11" s="69" t="n">
        <x:f aca="0">Assumptions!$B$43</x:f>
        <x:v>5</x:v>
      </x:c>
      <x:c r="V11" s="69" t="n">
        <x:f aca="0">Assumptions!$B$43</x:f>
        <x:v>5</x:v>
      </x:c>
      <x:c r="W11" s="69" t="n">
        <x:f aca="0">Assumptions!$B$43</x:f>
        <x:v>5</x:v>
      </x:c>
      <x:c r="X11" s="69" t="n">
        <x:f aca="0">Assumptions!$B$43</x:f>
        <x:v>5</x:v>
      </x:c>
      <x:c r="Y11" s="69" t="n">
        <x:f aca="0">Assumptions!$B$43</x:f>
        <x:v>5</x:v>
      </x:c>
      <x:c r="Z11" s="69" t="n">
        <x:f aca="0">AVERAGE(B11:M11)</x:f>
        <x:v>5</x:v>
      </x:c>
      <x:c r="AA11" s="69" t="n">
        <x:f aca="0">AVERAGE(N11:Y11)</x:f>
        <x:v>5</x:v>
      </x:c>
      <x:c r="AB11" s="52"/>
      <x:c r="AC11" s="52"/>
    </x:row>
    <x:row r="12" ht="13.5" hidden="0" customHeight="1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</x:row>
    <x:row r="13" ht="15" hidden="0" customHeight="1">
      <x:c r="A13" s="58" t="s">
        <x:v>206</x:v>
      </x:c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  <x:c r="O13" s="58"/>
      <x:c r="P13" s="58"/>
      <x:c r="Q13" s="58"/>
      <x:c r="R13" s="58"/>
      <x:c r="S13" s="58"/>
      <x:c r="T13" s="58"/>
      <x:c r="U13" s="58"/>
      <x:c r="V13" s="58"/>
      <x:c r="W13" s="58"/>
      <x:c r="X13" s="58"/>
      <x:c r="Y13" s="58"/>
      <x:c r="Z13" s="58"/>
      <x:c r="AA13" s="58"/>
      <x:c r="AB13" s="59"/>
      <x:c r="AC13" s="59"/>
    </x:row>
    <x:row r="14" ht="15" hidden="0" customHeight="1">
      <x:c r="A14" s="52" t="s">
        <x:v>207</x:v>
      </x:c>
      <x:c r="B14" s="69" t="n">
        <x:f aca="0">IF(COLUMN()-COLUMN($B$14)+1=Assumptions!$B$75,Assumptions!$B$32,0)</x:f>
        <x:v>6000000</x:v>
      </x:c>
      <x:c r="C14" s="69" t="n">
        <x:f aca="0">IF(COLUMN()-COLUMN($B$14)+1=Assumptions!$B$75,Assumptions!$B$32,0)</x:f>
        <x:v>0</x:v>
      </x:c>
      <x:c r="D14" s="69" t="n">
        <x:f aca="0">IF(COLUMN()-COLUMN($B$14)+1=Assumptions!$B$75,Assumptions!$B$32,0)</x:f>
        <x:v>0</x:v>
      </x:c>
      <x:c r="E14" s="69" t="n">
        <x:f aca="0">IF(COLUMN()-COLUMN($B$14)+1=Assumptions!$B$75,Assumptions!$B$32,0)</x:f>
        <x:v>0</x:v>
      </x:c>
      <x:c r="F14" s="69" t="n">
        <x:f aca="0">IF(COLUMN()-COLUMN($B$14)+1=Assumptions!$B$75,Assumptions!$B$32,0)</x:f>
        <x:v>0</x:v>
      </x:c>
      <x:c r="G14" s="69" t="n">
        <x:f aca="0">IF(COLUMN()-COLUMN($B$14)+1=Assumptions!$B$75,Assumptions!$B$32,0)</x:f>
        <x:v>0</x:v>
      </x:c>
      <x:c r="H14" s="69" t="n">
        <x:f aca="0">IF(COLUMN()-COLUMN($B$14)+1=Assumptions!$B$75,Assumptions!$B$32,0)</x:f>
        <x:v>0</x:v>
      </x:c>
      <x:c r="I14" s="69" t="n">
        <x:f aca="0">IF(COLUMN()-COLUMN($B$14)+1=Assumptions!$B$75,Assumptions!$B$32,0)</x:f>
        <x:v>0</x:v>
      </x:c>
      <x:c r="J14" s="69" t="n">
        <x:f aca="0">IF(COLUMN()-COLUMN($B$14)+1=Assumptions!$B$75,Assumptions!$B$32,0)</x:f>
        <x:v>0</x:v>
      </x:c>
      <x:c r="K14" s="69" t="n">
        <x:f aca="0">IF(COLUMN()-COLUMN($B$14)+1=Assumptions!$B$75,Assumptions!$B$32,0)</x:f>
        <x:v>0</x:v>
      </x:c>
      <x:c r="L14" s="69" t="n">
        <x:f aca="0">IF(COLUMN()-COLUMN($B$14)+1=Assumptions!$B$75,Assumptions!$B$32,0)</x:f>
        <x:v>0</x:v>
      </x:c>
      <x:c r="M14" s="69" t="n">
        <x:f aca="0">IF(COLUMN()-COLUMN($B$14)+1=Assumptions!$B$75,Assumptions!$B$32,0)</x:f>
        <x:v>0</x:v>
      </x:c>
      <x:c r="N14" s="69" t="n">
        <x:f aca="0">IF(COLUMN()-COLUMN($B$14)+1=Assumptions!$B$75,Assumptions!$B$32,0)</x:f>
        <x:v>0</x:v>
      </x:c>
      <x:c r="O14" s="69" t="n">
        <x:f aca="0">IF(COLUMN()-COLUMN($B$14)+1=Assumptions!$B$75,Assumptions!$B$32,0)</x:f>
        <x:v>0</x:v>
      </x:c>
      <x:c r="P14" s="69" t="n">
        <x:f aca="0">IF(COLUMN()-COLUMN($B$14)+1=Assumptions!$B$75,Assumptions!$B$32,0)</x:f>
        <x:v>0</x:v>
      </x:c>
      <x:c r="Q14" s="69" t="n">
        <x:f aca="0">IF(COLUMN()-COLUMN($B$14)+1=Assumptions!$B$75,Assumptions!$B$32,0)</x:f>
        <x:v>0</x:v>
      </x:c>
      <x:c r="R14" s="69" t="n">
        <x:f aca="0">IF(COLUMN()-COLUMN($B$14)+1=Assumptions!$B$75,Assumptions!$B$32,0)</x:f>
        <x:v>0</x:v>
      </x:c>
      <x:c r="S14" s="69" t="n">
        <x:f aca="0">IF(COLUMN()-COLUMN($B$14)+1=Assumptions!$B$75,Assumptions!$B$32,0)</x:f>
        <x:v>0</x:v>
      </x:c>
      <x:c r="T14" s="69" t="n">
        <x:f aca="0">IF(COLUMN()-COLUMN($B$14)+1=Assumptions!$B$75,Assumptions!$B$32,0)</x:f>
        <x:v>0</x:v>
      </x:c>
      <x:c r="U14" s="69" t="n">
        <x:f aca="0">IF(COLUMN()-COLUMN($B$14)+1=Assumptions!$B$75,Assumptions!$B$32,0)</x:f>
        <x:v>0</x:v>
      </x:c>
      <x:c r="V14" s="69" t="n">
        <x:f aca="0">IF(COLUMN()-COLUMN($B$14)+1=Assumptions!$B$75,Assumptions!$B$32,0)</x:f>
        <x:v>0</x:v>
      </x:c>
      <x:c r="W14" s="69" t="n">
        <x:f aca="0">IF(COLUMN()-COLUMN($B$14)+1=Assumptions!$B$75,Assumptions!$B$32,0)</x:f>
        <x:v>0</x:v>
      </x:c>
      <x:c r="X14" s="69" t="n">
        <x:f aca="0">IF(COLUMN()-COLUMN($B$14)+1=Assumptions!$B$75,Assumptions!$B$32,0)</x:f>
        <x:v>0</x:v>
      </x:c>
      <x:c r="Y14" s="69" t="n">
        <x:f aca="0">IF(COLUMN()-COLUMN($B$14)+1=Assumptions!$B$75,Assumptions!$B$32,0)</x:f>
        <x:v>0</x:v>
      </x:c>
      <x:c r="Z14" s="70" t="n">
        <x:f aca="0">SUM(B14:M14)</x:f>
        <x:v>6000000</x:v>
      </x:c>
      <x:c r="AA14" s="70" t="n">
        <x:f aca="0">SUM(N14:Y14)</x:f>
        <x:v>0</x:v>
      </x:c>
      <x:c r="AB14" s="52"/>
      <x:c r="AC14" s="52"/>
    </x:row>
    <x:row r="15" ht="15" hidden="0" customHeight="1">
      <x:c r="A15" s="52" t="s">
        <x:v>208</x:v>
      </x:c>
      <x:c r="B15" s="69" t="n">
        <x:f aca="0">IF(COLUMN()-COLUMN($B$15)+1&lt;=Assumptions!$B$68,Assumptions!$B$33,IF(COLUMN()-COLUMN($B$15)+1&lt;=Assumptions!$B$69,Assumptions!$B$34,Assumptions!$B$35))</x:f>
        <x:v>2000000</x:v>
      </x:c>
      <x:c r="C15" s="69" t="n">
        <x:f aca="0">IF(COLUMN()-COLUMN($B$15)+1&lt;=Assumptions!$B$68,Assumptions!$B$33,IF(COLUMN()-COLUMN($B$15)+1&lt;=Assumptions!$B$69,Assumptions!$B$34,Assumptions!$B$35))</x:f>
        <x:v>2000000</x:v>
      </x:c>
      <x:c r="D15" s="69" t="n">
        <x:f aca="0">IF(COLUMN()-COLUMN($B$15)+1&lt;=Assumptions!$B$68,Assumptions!$B$33,IF(COLUMN()-COLUMN($B$15)+1&lt;=Assumptions!$B$69,Assumptions!$B$34,Assumptions!$B$35))</x:f>
        <x:v>2000000</x:v>
      </x:c>
      <x:c r="E15" s="69" t="n">
        <x:f aca="0">IF(COLUMN()-COLUMN($B$15)+1&lt;=Assumptions!$B$68,Assumptions!$B$33,IF(COLUMN()-COLUMN($B$15)+1&lt;=Assumptions!$B$69,Assumptions!$B$34,Assumptions!$B$35))</x:f>
        <x:v>2000000</x:v>
      </x:c>
      <x:c r="F15" s="69" t="n">
        <x:f aca="0">IF(COLUMN()-COLUMN($B$15)+1&lt;=Assumptions!$B$68,Assumptions!$B$33,IF(COLUMN()-COLUMN($B$15)+1&lt;=Assumptions!$B$69,Assumptions!$B$34,Assumptions!$B$35))</x:f>
        <x:v>2000000</x:v>
      </x:c>
      <x:c r="G15" s="69" t="n">
        <x:f aca="0">IF(COLUMN()-COLUMN($B$15)+1&lt;=Assumptions!$B$68,Assumptions!$B$33,IF(COLUMN()-COLUMN($B$15)+1&lt;=Assumptions!$B$69,Assumptions!$B$34,Assumptions!$B$35))</x:f>
        <x:v>2000000</x:v>
      </x:c>
      <x:c r="H15" s="69" t="n">
        <x:f aca="0">IF(COLUMN()-COLUMN($B$15)+1&lt;=Assumptions!$B$68,Assumptions!$B$33,IF(COLUMN()-COLUMN($B$15)+1&lt;=Assumptions!$B$69,Assumptions!$B$34,Assumptions!$B$35))</x:f>
        <x:v>2600000</x:v>
      </x:c>
      <x:c r="I15" s="69" t="n">
        <x:f aca="0">IF(COLUMN()-COLUMN($B$15)+1&lt;=Assumptions!$B$68,Assumptions!$B$33,IF(COLUMN()-COLUMN($B$15)+1&lt;=Assumptions!$B$69,Assumptions!$B$34,Assumptions!$B$35))</x:f>
        <x:v>2600000</x:v>
      </x:c>
      <x:c r="J15" s="69" t="n">
        <x:f aca="0">IF(COLUMN()-COLUMN($B$15)+1&lt;=Assumptions!$B$68,Assumptions!$B$33,IF(COLUMN()-COLUMN($B$15)+1&lt;=Assumptions!$B$69,Assumptions!$B$34,Assumptions!$B$35))</x:f>
        <x:v>2600000</x:v>
      </x:c>
      <x:c r="K15" s="69" t="n">
        <x:f aca="0">IF(COLUMN()-COLUMN($B$15)+1&lt;=Assumptions!$B$68,Assumptions!$B$33,IF(COLUMN()-COLUMN($B$15)+1&lt;=Assumptions!$B$69,Assumptions!$B$34,Assumptions!$B$35))</x:f>
        <x:v>2600000</x:v>
      </x:c>
      <x:c r="L15" s="69" t="n">
        <x:f aca="0">IF(COLUMN()-COLUMN($B$15)+1&lt;=Assumptions!$B$68,Assumptions!$B$33,IF(COLUMN()-COLUMN($B$15)+1&lt;=Assumptions!$B$69,Assumptions!$B$34,Assumptions!$B$35))</x:f>
        <x:v>2600000</x:v>
      </x:c>
      <x:c r="M15" s="69" t="n">
        <x:f aca="0">IF(COLUMN()-COLUMN($B$15)+1&lt;=Assumptions!$B$68,Assumptions!$B$33,IF(COLUMN()-COLUMN($B$15)+1&lt;=Assumptions!$B$69,Assumptions!$B$34,Assumptions!$B$35))</x:f>
        <x:v>2600000</x:v>
      </x:c>
      <x:c r="N15" s="69" t="n">
        <x:f aca="0">IF(COLUMN()-COLUMN($B$15)+1&lt;=Assumptions!$B$68,Assumptions!$B$33,IF(COLUMN()-COLUMN($B$15)+1&lt;=Assumptions!$B$69,Assumptions!$B$34,Assumptions!$B$35))</x:f>
        <x:v>3200000</x:v>
      </x:c>
      <x:c r="O15" s="69" t="n">
        <x:f aca="0">IF(COLUMN()-COLUMN($B$15)+1&lt;=Assumptions!$B$68,Assumptions!$B$33,IF(COLUMN()-COLUMN($B$15)+1&lt;=Assumptions!$B$69,Assumptions!$B$34,Assumptions!$B$35))</x:f>
        <x:v>3200000</x:v>
      </x:c>
      <x:c r="P15" s="69" t="n">
        <x:f aca="0">IF(COLUMN()-COLUMN($B$15)+1&lt;=Assumptions!$B$68,Assumptions!$B$33,IF(COLUMN()-COLUMN($B$15)+1&lt;=Assumptions!$B$69,Assumptions!$B$34,Assumptions!$B$35))</x:f>
        <x:v>3200000</x:v>
      </x:c>
      <x:c r="Q15" s="69" t="n">
        <x:f aca="0">IF(COLUMN()-COLUMN($B$15)+1&lt;=Assumptions!$B$68,Assumptions!$B$33,IF(COLUMN()-COLUMN($B$15)+1&lt;=Assumptions!$B$69,Assumptions!$B$34,Assumptions!$B$35))</x:f>
        <x:v>3200000</x:v>
      </x:c>
      <x:c r="R15" s="69" t="n">
        <x:f aca="0">IF(COLUMN()-COLUMN($B$15)+1&lt;=Assumptions!$B$68,Assumptions!$B$33,IF(COLUMN()-COLUMN($B$15)+1&lt;=Assumptions!$B$69,Assumptions!$B$34,Assumptions!$B$35))</x:f>
        <x:v>3200000</x:v>
      </x:c>
      <x:c r="S15" s="69" t="n">
        <x:f aca="0">IF(COLUMN()-COLUMN($B$15)+1&lt;=Assumptions!$B$68,Assumptions!$B$33,IF(COLUMN()-COLUMN($B$15)+1&lt;=Assumptions!$B$69,Assumptions!$B$34,Assumptions!$B$35))</x:f>
        <x:v>3200000</x:v>
      </x:c>
      <x:c r="T15" s="69" t="n">
        <x:f aca="0">IF(COLUMN()-COLUMN($B$15)+1&lt;=Assumptions!$B$68,Assumptions!$B$33,IF(COLUMN()-COLUMN($B$15)+1&lt;=Assumptions!$B$69,Assumptions!$B$34,Assumptions!$B$35))</x:f>
        <x:v>3200000</x:v>
      </x:c>
      <x:c r="U15" s="69" t="n">
        <x:f aca="0">IF(COLUMN()-COLUMN($B$15)+1&lt;=Assumptions!$B$68,Assumptions!$B$33,IF(COLUMN()-COLUMN($B$15)+1&lt;=Assumptions!$B$69,Assumptions!$B$34,Assumptions!$B$35))</x:f>
        <x:v>3200000</x:v>
      </x:c>
      <x:c r="V15" s="69" t="n">
        <x:f aca="0">IF(COLUMN()-COLUMN($B$15)+1&lt;=Assumptions!$B$68,Assumptions!$B$33,IF(COLUMN()-COLUMN($B$15)+1&lt;=Assumptions!$B$69,Assumptions!$B$34,Assumptions!$B$35))</x:f>
        <x:v>3200000</x:v>
      </x:c>
      <x:c r="W15" s="69" t="n">
        <x:f aca="0">IF(COLUMN()-COLUMN($B$15)+1&lt;=Assumptions!$B$68,Assumptions!$B$33,IF(COLUMN()-COLUMN($B$15)+1&lt;=Assumptions!$B$69,Assumptions!$B$34,Assumptions!$B$35))</x:f>
        <x:v>3200000</x:v>
      </x:c>
      <x:c r="X15" s="69" t="n">
        <x:f aca="0">IF(COLUMN()-COLUMN($B$15)+1&lt;=Assumptions!$B$68,Assumptions!$B$33,IF(COLUMN()-COLUMN($B$15)+1&lt;=Assumptions!$B$69,Assumptions!$B$34,Assumptions!$B$35))</x:f>
        <x:v>3200000</x:v>
      </x:c>
      <x:c r="Y15" s="69" t="n">
        <x:f aca="0">IF(COLUMN()-COLUMN($B$15)+1&lt;=Assumptions!$B$68,Assumptions!$B$33,IF(COLUMN()-COLUMN($B$15)+1&lt;=Assumptions!$B$69,Assumptions!$B$34,Assumptions!$B$35))</x:f>
        <x:v>3200000</x:v>
      </x:c>
      <x:c r="Z15" s="70" t="n">
        <x:f aca="0">SUM(B15:M15)</x:f>
        <x:v>27600000</x:v>
      </x:c>
      <x:c r="AA15" s="70" t="n">
        <x:f aca="0">SUM(N15:Y15)</x:f>
        <x:v>38400000</x:v>
      </x:c>
      <x:c r="AB15" s="52"/>
      <x:c r="AC15" s="52"/>
    </x:row>
    <x:row r="16" ht="15" hidden="0" customHeight="1">
      <x:c r="A16" s="52" t="s">
        <x:v>209</x:v>
      </x:c>
      <x:c r="B16" s="70" t="n">
        <x:f aca="0">B7*B8</x:f>
        <x:v>1046424.3424567267</x:v>
      </x:c>
      <x:c r="C16" s="70" t="n">
        <x:f aca="0">C7*C8</x:f>
        <x:v>1131393.9990642124</x:v>
      </x:c>
      <x:c r="D16" s="70" t="n">
        <x:f aca="0">D7*D8</x:f>
        <x:v>1223263.1917882268</x:v>
      </x:c>
      <x:c r="E16" s="70" t="n">
        <x:f aca="0">E7*E8</x:f>
        <x:v>1322592.162961431</x:v>
      </x:c>
      <x:c r="F16" s="70" t="n">
        <x:f aca="0">F7*F8</x:f>
        <x:v>1429986.646593899</x:v>
      </x:c>
      <x:c r="G16" s="70" t="n">
        <x:f aca="0">G7*G8</x:f>
        <x:v>1546101.5622973235</x:v>
      </x:c>
      <x:c r="H16" s="70" t="n">
        <x:f aca="0">H7*H8</x:f>
        <x:v>1671645.0091558662</x:v>
      </x:c>
      <x:c r="I16" s="70" t="n">
        <x:f aca="0">I7*I8</x:f>
        <x:v>1807382.5838993224</x:v>
      </x:c>
      <x:c r="J16" s="70" t="n">
        <x:f aca="0">J7*J8</x:f>
        <x:v>1954142.0497119478</x:v>
      </x:c>
      <x:c r="K16" s="70" t="n">
        <x:f aca="0">K7*K8</x:f>
        <x:v>2112818.384148558</x:v>
      </x:c>
      <x:c r="L16" s="70" t="n">
        <x:f aca="0">L7*L8</x:f>
        <x:v>2284379.236941421</x:v>
      </x:c>
      <x:c r="M16" s="70" t="n">
        <x:f aca="0">M7*M8</x:f>
        <x:v>2469870.830981065</x:v>
      </x:c>
      <x:c r="N16" s="70" t="n">
        <x:f aca="0">N7*N8</x:f>
        <x:v>0</x:v>
      </x:c>
      <x:c r="O16" s="70" t="n">
        <x:f aca="0">O7*O8</x:f>
        <x:v>0</x:v>
      </x:c>
      <x:c r="P16" s="70" t="n">
        <x:f aca="0">P7*P8</x:f>
        <x:v>0</x:v>
      </x:c>
      <x:c r="Q16" s="70" t="n">
        <x:f aca="0">Q7*Q8</x:f>
        <x:v>0</x:v>
      </x:c>
      <x:c r="R16" s="70" t="n">
        <x:f aca="0">R7*R8</x:f>
        <x:v>0</x:v>
      </x:c>
      <x:c r="S16" s="70" t="n">
        <x:f aca="0">S7*S8</x:f>
        <x:v>0</x:v>
      </x:c>
      <x:c r="T16" s="70" t="n">
        <x:f aca="0">T7*T8</x:f>
        <x:v>0</x:v>
      </x:c>
      <x:c r="U16" s="70" t="n">
        <x:f aca="0">U7*U8</x:f>
        <x:v>0</x:v>
      </x:c>
      <x:c r="V16" s="70" t="n">
        <x:f aca="0">V7*V8</x:f>
        <x:v>0</x:v>
      </x:c>
      <x:c r="W16" s="70" t="n">
        <x:f aca="0">W7*W8</x:f>
        <x:v>0</x:v>
      </x:c>
      <x:c r="X16" s="70" t="n">
        <x:f aca="0">X7*X8</x:f>
        <x:v>0</x:v>
      </x:c>
      <x:c r="Y16" s="70" t="n">
        <x:f aca="0">Y7*Y8</x:f>
        <x:v>0</x:v>
      </x:c>
      <x:c r="Z16" s="70" t="n">
        <x:f aca="0">SUM(B16:M16)</x:f>
        <x:v>20000000</x:v>
      </x:c>
      <x:c r="AA16" s="70" t="n">
        <x:f aca="0">SUM(N16:Y16)</x:f>
        <x:v>0</x:v>
      </x:c>
      <x:c r="AB16" s="52"/>
      <x:c r="AC16" s="52"/>
    </x:row>
    <x:row r="17" ht="30" hidden="0" customHeight="1">
      <x:c r="A17" s="52" t="s">
        <x:v>210</x:v>
      </x:c>
      <x:c r="B17" s="80" t="n">
        <x:f aca="0">IF(SUM($B$16:$M$16)=0,1,Assumptions!$B$38/SUM($B$16:$M$16))</x:f>
        <x:v>1</x:v>
      </x:c>
      <x:c r="C17" s="80" t="n">
        <x:f aca="0">IF(SUM($B$16:$M$16)=0,1,Assumptions!$B$38/SUM($B$16:$M$16))</x:f>
        <x:v>1</x:v>
      </x:c>
      <x:c r="D17" s="80" t="n">
        <x:f aca="0">IF(SUM($B$16:$M$16)=0,1,Assumptions!$B$38/SUM($B$16:$M$16))</x:f>
        <x:v>1</x:v>
      </x:c>
      <x:c r="E17" s="80" t="n">
        <x:f aca="0">IF(SUM($B$16:$M$16)=0,1,Assumptions!$B$38/SUM($B$16:$M$16))</x:f>
        <x:v>1</x:v>
      </x:c>
      <x:c r="F17" s="80" t="n">
        <x:f aca="0">IF(SUM($B$16:$M$16)=0,1,Assumptions!$B$38/SUM($B$16:$M$16))</x:f>
        <x:v>1</x:v>
      </x:c>
      <x:c r="G17" s="80" t="n">
        <x:f aca="0">IF(SUM($B$16:$M$16)=0,1,Assumptions!$B$38/SUM($B$16:$M$16))</x:f>
        <x:v>1</x:v>
      </x:c>
      <x:c r="H17" s="80" t="n">
        <x:f aca="0">IF(SUM($B$16:$M$16)=0,1,Assumptions!$B$38/SUM($B$16:$M$16))</x:f>
        <x:v>1</x:v>
      </x:c>
      <x:c r="I17" s="80" t="n">
        <x:f aca="0">IF(SUM($B$16:$M$16)=0,1,Assumptions!$B$38/SUM($B$16:$M$16))</x:f>
        <x:v>1</x:v>
      </x:c>
      <x:c r="J17" s="80" t="n">
        <x:f aca="0">IF(SUM($B$16:$M$16)=0,1,Assumptions!$B$38/SUM($B$16:$M$16))</x:f>
        <x:v>1</x:v>
      </x:c>
      <x:c r="K17" s="80" t="n">
        <x:f aca="0">IF(SUM($B$16:$M$16)=0,1,Assumptions!$B$38/SUM($B$16:$M$16))</x:f>
        <x:v>1</x:v>
      </x:c>
      <x:c r="L17" s="80" t="n">
        <x:f aca="0">IF(SUM($B$16:$M$16)=0,1,Assumptions!$B$38/SUM($B$16:$M$16))</x:f>
        <x:v>1</x:v>
      </x:c>
      <x:c r="M17" s="80" t="n">
        <x:f aca="0">IF(SUM($B$16:$M$16)=0,1,Assumptions!$B$38/SUM($B$16:$M$16))</x:f>
        <x:v>1</x:v>
      </x:c>
      <x:c r="N17" s="80" t="n">
        <x:f aca="0">IF(SUM($N$16:$Y$16)=0,1,Assumptions!$B$39/SUM($N$16:$Y$16))</x:f>
        <x:v>1</x:v>
      </x:c>
      <x:c r="O17" s="80" t="n">
        <x:f aca="0">IF(SUM($N$16:$Y$16)=0,1,Assumptions!$B$39/SUM($N$16:$Y$16))</x:f>
        <x:v>1</x:v>
      </x:c>
      <x:c r="P17" s="80" t="n">
        <x:f aca="0">IF(SUM($N$16:$Y$16)=0,1,Assumptions!$B$39/SUM($N$16:$Y$16))</x:f>
        <x:v>1</x:v>
      </x:c>
      <x:c r="Q17" s="80" t="n">
        <x:f aca="0">IF(SUM($N$16:$Y$16)=0,1,Assumptions!$B$39/SUM($N$16:$Y$16))</x:f>
        <x:v>1</x:v>
      </x:c>
      <x:c r="R17" s="80" t="n">
        <x:f aca="0">IF(SUM($N$16:$Y$16)=0,1,Assumptions!$B$39/SUM($N$16:$Y$16))</x:f>
        <x:v>1</x:v>
      </x:c>
      <x:c r="S17" s="80" t="n">
        <x:f aca="0">IF(SUM($N$16:$Y$16)=0,1,Assumptions!$B$39/SUM($N$16:$Y$16))</x:f>
        <x:v>1</x:v>
      </x:c>
      <x:c r="T17" s="80" t="n">
        <x:f aca="0">IF(SUM($N$16:$Y$16)=0,1,Assumptions!$B$39/SUM($N$16:$Y$16))</x:f>
        <x:v>1</x:v>
      </x:c>
      <x:c r="U17" s="80" t="n">
        <x:f aca="0">IF(SUM($N$16:$Y$16)=0,1,Assumptions!$B$39/SUM($N$16:$Y$16))</x:f>
        <x:v>1</x:v>
      </x:c>
      <x:c r="V17" s="80" t="n">
        <x:f aca="0">IF(SUM($N$16:$Y$16)=0,1,Assumptions!$B$39/SUM($N$16:$Y$16))</x:f>
        <x:v>1</x:v>
      </x:c>
      <x:c r="W17" s="80" t="n">
        <x:f aca="0">IF(SUM($N$16:$Y$16)=0,1,Assumptions!$B$39/SUM($N$16:$Y$16))</x:f>
        <x:v>1</x:v>
      </x:c>
      <x:c r="X17" s="80" t="n">
        <x:f aca="0">IF(SUM($N$16:$Y$16)=0,1,Assumptions!$B$39/SUM($N$16:$Y$16))</x:f>
        <x:v>1</x:v>
      </x:c>
      <x:c r="Y17" s="80" t="n">
        <x:f aca="0">IF(SUM($N$16:$Y$16)=0,1,Assumptions!$B$39/SUM($N$16:$Y$16))</x:f>
        <x:v>1</x:v>
      </x:c>
      <x:c r="Z17" s="80" t="n">
        <x:f aca="0">AVERAGE(B17:M17)</x:f>
        <x:v>1</x:v>
      </x:c>
      <x:c r="AA17" s="80" t="n">
        <x:f aca="0">AVERAGE(N17:Y17)</x:f>
        <x:v>1</x:v>
      </x:c>
      <x:c r="AB17" s="52"/>
      <x:c r="AC17" s="52"/>
    </x:row>
    <x:row r="18" ht="15" hidden="0" customHeight="1">
      <x:c r="A18" s="52" t="s">
        <x:v>211</x:v>
      </x:c>
      <x:c r="B18" s="70" t="n">
        <x:f aca="0">IF(SUM($B$16:$M$16)=0,Assumptions!$B$38/12,B16*B17)</x:f>
        <x:v>1046424.3424567267</x:v>
      </x:c>
      <x:c r="C18" s="70" t="n">
        <x:f aca="0">IF(SUM($B$16:$M$16)=0,Assumptions!$B$38/12,C16*C17)</x:f>
        <x:v>1131393.9990642124</x:v>
      </x:c>
      <x:c r="D18" s="70" t="n">
        <x:f aca="0">IF(SUM($B$16:$M$16)=0,Assumptions!$B$38/12,D16*D17)</x:f>
        <x:v>1223263.1917882268</x:v>
      </x:c>
      <x:c r="E18" s="70" t="n">
        <x:f aca="0">IF(SUM($B$16:$M$16)=0,Assumptions!$B$38/12,E16*E17)</x:f>
        <x:v>1322592.162961431</x:v>
      </x:c>
      <x:c r="F18" s="70" t="n">
        <x:f aca="0">IF(SUM($B$16:$M$16)=0,Assumptions!$B$38/12,F16*F17)</x:f>
        <x:v>1429986.646593899</x:v>
      </x:c>
      <x:c r="G18" s="70" t="n">
        <x:f aca="0">IF(SUM($B$16:$M$16)=0,Assumptions!$B$38/12,G16*G17)</x:f>
        <x:v>1546101.5622973235</x:v>
      </x:c>
      <x:c r="H18" s="70" t="n">
        <x:f aca="0">IF(SUM($B$16:$M$16)=0,Assumptions!$B$38/12,H16*H17)</x:f>
        <x:v>1671645.0091558662</x:v>
      </x:c>
      <x:c r="I18" s="70" t="n">
        <x:f aca="0">IF(SUM($B$16:$M$16)=0,Assumptions!$B$38/12,I16*I17)</x:f>
        <x:v>1807382.5838993224</x:v>
      </x:c>
      <x:c r="J18" s="70" t="n">
        <x:f aca="0">IF(SUM($B$16:$M$16)=0,Assumptions!$B$38/12,J16*J17)</x:f>
        <x:v>1954142.0497119478</x:v>
      </x:c>
      <x:c r="K18" s="70" t="n">
        <x:f aca="0">IF(SUM($B$16:$M$16)=0,Assumptions!$B$38/12,K16*K17)</x:f>
        <x:v>2112818.384148558</x:v>
      </x:c>
      <x:c r="L18" s="70" t="n">
        <x:f aca="0">IF(SUM($B$16:$M$16)=0,Assumptions!$B$38/12,L16*L17)</x:f>
        <x:v>2284379.236941421</x:v>
      </x:c>
      <x:c r="M18" s="70" t="n">
        <x:f aca="0">IF(SUM($B$16:$M$16)=0,Assumptions!$B$38/12,M16*M17)</x:f>
        <x:v>2469870.830981065</x:v>
      </x:c>
      <x:c r="N18" s="70" t="n">
        <x:f aca="0">IF(SUM($N$16:$Y$16)=0,Assumptions!$B$39/12,N16*N17)</x:f>
        <x:v>3333333.3333333335</x:v>
      </x:c>
      <x:c r="O18" s="70" t="n">
        <x:f aca="0">IF(SUM($N$16:$Y$16)=0,Assumptions!$B$39/12,O16*O17)</x:f>
        <x:v>3333333.3333333335</x:v>
      </x:c>
      <x:c r="P18" s="70" t="n">
        <x:f aca="0">IF(SUM($N$16:$Y$16)=0,Assumptions!$B$39/12,P16*P17)</x:f>
        <x:v>3333333.3333333335</x:v>
      </x:c>
      <x:c r="Q18" s="70" t="n">
        <x:f aca="0">IF(SUM($N$16:$Y$16)=0,Assumptions!$B$39/12,Q16*Q17)</x:f>
        <x:v>3333333.3333333335</x:v>
      </x:c>
      <x:c r="R18" s="70" t="n">
        <x:f aca="0">IF(SUM($N$16:$Y$16)=0,Assumptions!$B$39/12,R16*R17)</x:f>
        <x:v>3333333.3333333335</x:v>
      </x:c>
      <x:c r="S18" s="70" t="n">
        <x:f aca="0">IF(SUM($N$16:$Y$16)=0,Assumptions!$B$39/12,S16*S17)</x:f>
        <x:v>3333333.3333333335</x:v>
      </x:c>
      <x:c r="T18" s="70" t="n">
        <x:f aca="0">IF(SUM($N$16:$Y$16)=0,Assumptions!$B$39/12,T16*T17)</x:f>
        <x:v>3333333.3333333335</x:v>
      </x:c>
      <x:c r="U18" s="70" t="n">
        <x:f aca="0">IF(SUM($N$16:$Y$16)=0,Assumptions!$B$39/12,U16*U17)</x:f>
        <x:v>3333333.3333333335</x:v>
      </x:c>
      <x:c r="V18" s="70" t="n">
        <x:f aca="0">IF(SUM($N$16:$Y$16)=0,Assumptions!$B$39/12,V16*V17)</x:f>
        <x:v>3333333.3333333335</x:v>
      </x:c>
      <x:c r="W18" s="70" t="n">
        <x:f aca="0">IF(SUM($N$16:$Y$16)=0,Assumptions!$B$39/12,W16*W17)</x:f>
        <x:v>3333333.3333333335</x:v>
      </x:c>
      <x:c r="X18" s="70" t="n">
        <x:f aca="0">IF(SUM($N$16:$Y$16)=0,Assumptions!$B$39/12,X16*X17)</x:f>
        <x:v>3333333.3333333335</x:v>
      </x:c>
      <x:c r="Y18" s="70" t="n">
        <x:f aca="0">IF(SUM($N$16:$Y$16)=0,Assumptions!$B$39/12,Y16*Y17)</x:f>
        <x:v>3333333.3333333335</x:v>
      </x:c>
      <x:c r="Z18" s="70" t="n">
        <x:f aca="0">SUM(B18:M18)</x:f>
        <x:v>20000000</x:v>
      </x:c>
      <x:c r="AA18" s="70" t="n">
        <x:f aca="0">SUM(N18:Y18)</x:f>
        <x:v>40000000</x:v>
      </x:c>
      <x:c r="AB18" s="52"/>
      <x:c r="AC18" s="52"/>
    </x:row>
    <x:row r="19" ht="15" hidden="0" customHeight="1">
      <x:c r="A19" s="52" t="s">
        <x:v>47</x:v>
      </x:c>
      <x:c r="B19" s="70" t="n">
        <x:f aca="0">Assumptions!$B$42</x:f>
        <x:v>300000</x:v>
      </x:c>
      <x:c r="C19" s="70" t="n">
        <x:f aca="0">Assumptions!$B$42</x:f>
        <x:v>300000</x:v>
      </x:c>
      <x:c r="D19" s="70" t="n">
        <x:f aca="0">Assumptions!$B$42</x:f>
        <x:v>300000</x:v>
      </x:c>
      <x:c r="E19" s="70" t="n">
        <x:f aca="0">Assumptions!$B$42</x:f>
        <x:v>300000</x:v>
      </x:c>
      <x:c r="F19" s="70" t="n">
        <x:f aca="0">Assumptions!$B$42</x:f>
        <x:v>300000</x:v>
      </x:c>
      <x:c r="G19" s="70" t="n">
        <x:f aca="0">Assumptions!$B$42</x:f>
        <x:v>300000</x:v>
      </x:c>
      <x:c r="H19" s="70" t="n">
        <x:f aca="0">Assumptions!$B$42</x:f>
        <x:v>300000</x:v>
      </x:c>
      <x:c r="I19" s="70" t="n">
        <x:f aca="0">Assumptions!$B$42</x:f>
        <x:v>300000</x:v>
      </x:c>
      <x:c r="J19" s="70" t="n">
        <x:f aca="0">Assumptions!$B$42</x:f>
        <x:v>300000</x:v>
      </x:c>
      <x:c r="K19" s="70" t="n">
        <x:f aca="0">Assumptions!$B$42</x:f>
        <x:v>300000</x:v>
      </x:c>
      <x:c r="L19" s="70" t="n">
        <x:f aca="0">Assumptions!$B$42</x:f>
        <x:v>300000</x:v>
      </x:c>
      <x:c r="M19" s="70" t="n">
        <x:f aca="0">Assumptions!$B$42</x:f>
        <x:v>300000</x:v>
      </x:c>
      <x:c r="N19" s="70" t="n">
        <x:f aca="0">Assumptions!$B$42</x:f>
        <x:v>300000</x:v>
      </x:c>
      <x:c r="O19" s="70" t="n">
        <x:f aca="0">Assumptions!$B$42</x:f>
        <x:v>300000</x:v>
      </x:c>
      <x:c r="P19" s="70" t="n">
        <x:f aca="0">Assumptions!$B$42</x:f>
        <x:v>300000</x:v>
      </x:c>
      <x:c r="Q19" s="70" t="n">
        <x:f aca="0">Assumptions!$B$42</x:f>
        <x:v>300000</x:v>
      </x:c>
      <x:c r="R19" s="70" t="n">
        <x:f aca="0">Assumptions!$B$42</x:f>
        <x:v>300000</x:v>
      </x:c>
      <x:c r="S19" s="70" t="n">
        <x:f aca="0">Assumptions!$B$42</x:f>
        <x:v>300000</x:v>
      </x:c>
      <x:c r="T19" s="70" t="n">
        <x:f aca="0">Assumptions!$B$42</x:f>
        <x:v>300000</x:v>
      </x:c>
      <x:c r="U19" s="70" t="n">
        <x:f aca="0">Assumptions!$B$42</x:f>
        <x:v>300000</x:v>
      </x:c>
      <x:c r="V19" s="70" t="n">
        <x:f aca="0">Assumptions!$B$42</x:f>
        <x:v>300000</x:v>
      </x:c>
      <x:c r="W19" s="70" t="n">
        <x:f aca="0">Assumptions!$B$42</x:f>
        <x:v>300000</x:v>
      </x:c>
      <x:c r="X19" s="70" t="n">
        <x:f aca="0">Assumptions!$B$42</x:f>
        <x:v>300000</x:v>
      </x:c>
      <x:c r="Y19" s="70" t="n">
        <x:f aca="0">Assumptions!$B$42</x:f>
        <x:v>300000</x:v>
      </x:c>
      <x:c r="Z19" s="70" t="n">
        <x:f aca="0">SUM(B19:M19)</x:f>
        <x:v>3600000</x:v>
      </x:c>
      <x:c r="AA19" s="70" t="n">
        <x:f aca="0">SUM(N19:Y19)</x:f>
        <x:v>3600000</x:v>
      </x:c>
      <x:c r="AB19" s="52"/>
      <x:c r="AC19" s="52"/>
    </x:row>
    <x:row r="20" ht="15" hidden="0" customHeight="1">
      <x:c r="A20" s="52" t="s">
        <x:v>212</x:v>
      </x:c>
      <x:c r="B20" s="70" t="n">
        <x:f aca="0">B10*B11</x:f>
        <x:v>50242.0292785672</x:v>
      </x:c>
      <x:c r="C20" s="70" t="n">
        <x:f aca="0">C10*C11</x:f>
        <x:v>99693.71797156305</x:v>
      </x:c>
      <x:c r="D20" s="70" t="n">
        <x:f aca="0">D10*D11</x:f>
        <x:v>148601.30963123613</x:v>
      </x:c>
      <x:c r="E20" s="70" t="n">
        <x:f aca="0">E10*E11</x:f>
        <x:v>197202.8655539792</x:v>
      </x:c>
      <x:c r="F20" s="70" t="n">
        <x:f aca="0">F10*F11</x:f>
        <x:v>245729.58358199743</x:v>
      </x:c>
      <x:c r="G20" s="70" t="n">
        <x:f aca="0">G10*G11</x:f>
        <x:v>294407.05259473936</x:v>
      </x:c>
      <x:c r="H20" s="70" t="n">
        <x:f aca="0">H10*H11</x:f>
        <x:v>343456.45023951377</x:v>
      </x:c>
      <x:c r="I20" s="70" t="n">
        <x:f aca="0">I10*I11</x:f>
        <x:v>393095.6909943866</x:v>
      </x:c>
      <x:c r="J20" s="70" t="n">
        <x:f aca="0">J10*J11</x:f>
        <x:v>443540.5312453237</x:v>
      </x:c>
      <x:c r="K20" s="70" t="n">
        <x:f aca="0">K10*K11</x:f>
        <x:v>495005.63769052655</x:v>
      </x:c>
      <x:c r="L20" s="70" t="n">
        <x:f aca="0">L10*L11</x:f>
        <x:v>547705.6250551889</x:v>
      </x:c>
      <x:c r="M20" s="70" t="n">
        <x:f aca="0">M10*M11</x:f>
        <x:v>601856.0688069392</x:v>
      </x:c>
      <x:c r="N20" s="70" t="n">
        <x:f aca="0">N10*N11</x:f>
        <x:v>654336.3952925552</x:v>
      </x:c>
      <x:c r="O20" s="70" t="n">
        <x:f aca="0">O10*O11</x:f>
        <x:v>705336.1245546732</x:v>
      </x:c>
      <x:c r="P20" s="70" t="n">
        <x:f aca="0">P10*P11</x:f>
        <x:v>755031.5446637766</x:v>
      </x:c>
      <x:c r="Q20" s="70" t="n">
        <x:f aca="0">Q10*Q11</x:f>
        <x:v>803586.7919235147</x:v>
      </x:c>
      <x:c r="R20" s="70" t="n">
        <x:f aca="0">R10*R11</x:f>
        <x:v>851154.8465304445</x:v>
      </x:c>
      <x:c r="S20" s="70" t="n">
        <x:f aca="0">S10*S11</x:f>
        <x:v>897878.4504321325</x:v>
      </x:c>
      <x:c r="T20" s="70" t="n">
        <x:f aca="0">T10*T11</x:f>
        <x:v>943890.9535908663</x:v>
      </x:c>
      <x:c r="U20" s="70" t="n">
        <x:f aca="0">U10*U11</x:f>
        <x:v>989317.0943663826</x:v>
      </x:c>
      <x:c r="V20" s="70" t="n">
        <x:f aca="0">V10*V11</x:f>
        <x:v>1034273.7192765936</x:v>
      </x:c>
      <x:c r="W20" s="70" t="n">
        <x:f aca="0">W10*W11</x:f>
        <x:v>1078870.4469771336</x:v>
      </x:c>
      <x:c r="X20" s="70" t="n">
        <x:f aca="0">X10*X11</x:f>
        <x:v>1123210.2809157723</x:v>
      </x:c>
      <x:c r="Y20" s="70" t="n">
        <x:f aca="0">Y10*Y11</x:f>
        <x:v>1167390.1747636616</x:v>
      </x:c>
      <x:c r="Z20" s="70" t="n">
        <x:f aca="0">SUM(B20:M20)</x:f>
        <x:v>3860536.562643961</x:v>
      </x:c>
      <x:c r="AA20" s="70" t="n">
        <x:f aca="0">SUM(N20:Y20)</x:f>
        <x:v>11004276.823287506</x:v>
      </x:c>
      <x:c r="AB20" s="52"/>
      <x:c r="AC20" s="52"/>
    </x:row>
    <x:row r="21" ht="15.75" hidden="0" customHeight="1">
      <x:c r="A21" s="81" t="s">
        <x:v>213</x:v>
      </x:c>
      <x:c r="B21" s="82" t="n">
        <x:f aca="0">SUM(B19:B20)</x:f>
        <x:v>350242.0292785672</x:v>
      </x:c>
      <x:c r="C21" s="82" t="n">
        <x:f aca="0">SUM(C19:C20)</x:f>
        <x:v>399693.71797156305</x:v>
      </x:c>
      <x:c r="D21" s="82" t="n">
        <x:f aca="0">SUM(D19:D20)</x:f>
        <x:v>448601.30963123613</x:v>
      </x:c>
      <x:c r="E21" s="82" t="n">
        <x:f aca="0">SUM(E19:E20)</x:f>
        <x:v>497202.8655539792</x:v>
      </x:c>
      <x:c r="F21" s="82" t="n">
        <x:f aca="0">SUM(F19:F20)</x:f>
        <x:v>545729.5835819974</x:v>
      </x:c>
      <x:c r="G21" s="82" t="n">
        <x:f aca="0">SUM(G19:G20)</x:f>
        <x:v>594407.0525947394</x:v>
      </x:c>
      <x:c r="H21" s="82" t="n">
        <x:f aca="0">SUM(H19:H20)</x:f>
        <x:v>643456.4502395138</x:v>
      </x:c>
      <x:c r="I21" s="82" t="n">
        <x:f aca="0">SUM(I19:I20)</x:f>
        <x:v>693095.6909943866</x:v>
      </x:c>
      <x:c r="J21" s="82" t="n">
        <x:f aca="0">SUM(J19:J20)</x:f>
        <x:v>743540.5312453237</x:v>
      </x:c>
      <x:c r="K21" s="82" t="n">
        <x:f aca="0">SUM(K19:K20)</x:f>
        <x:v>795005.6376905265</x:v>
      </x:c>
      <x:c r="L21" s="82" t="n">
        <x:f aca="0">SUM(L19:L20)</x:f>
        <x:v>847705.6250551889</x:v>
      </x:c>
      <x:c r="M21" s="82" t="n">
        <x:f aca="0">SUM(M19:M20)</x:f>
        <x:v>901856.0688069392</x:v>
      </x:c>
      <x:c r="N21" s="82" t="n">
        <x:f aca="0">SUM(N19:N20)</x:f>
        <x:v>954336.3952925552</x:v>
      </x:c>
      <x:c r="O21" s="82" t="n">
        <x:f aca="0">SUM(O19:O20)</x:f>
        <x:v>1005336.1245546732</x:v>
      </x:c>
      <x:c r="P21" s="82" t="n">
        <x:f aca="0">SUM(P19:P20)</x:f>
        <x:v>1055031.5446637766</x:v>
      </x:c>
      <x:c r="Q21" s="82" t="n">
        <x:f aca="0">SUM(Q19:Q20)</x:f>
        <x:v>1103586.7919235146</x:v>
      </x:c>
      <x:c r="R21" s="82" t="n">
        <x:f aca="0">SUM(R19:R20)</x:f>
        <x:v>1151154.8465304445</x:v>
      </x:c>
      <x:c r="S21" s="82" t="n">
        <x:f aca="0">SUM(S19:S20)</x:f>
        <x:v>1197878.4504321325</x:v>
      </x:c>
      <x:c r="T21" s="82" t="n">
        <x:f aca="0">SUM(T19:T20)</x:f>
        <x:v>1243890.9535908662</x:v>
      </x:c>
      <x:c r="U21" s="82" t="n">
        <x:f aca="0">SUM(U19:U20)</x:f>
        <x:v>1289317.0943663826</x:v>
      </x:c>
      <x:c r="V21" s="82" t="n">
        <x:f aca="0">SUM(V19:V20)</x:f>
        <x:v>1334273.7192765935</x:v>
      </x:c>
      <x:c r="W21" s="82" t="n">
        <x:f aca="0">SUM(W19:W20)</x:f>
        <x:v>1378870.4469771336</x:v>
      </x:c>
      <x:c r="X21" s="82" t="n">
        <x:f aca="0">SUM(X19:X20)</x:f>
        <x:v>1423210.2809157723</x:v>
      </x:c>
      <x:c r="Y21" s="82" t="n">
        <x:f aca="0">SUM(Y19:Y20)</x:f>
        <x:v>1467390.1747636616</x:v>
      </x:c>
      <x:c r="Z21" s="82" t="n">
        <x:f aca="0">SUM(B21:M21)</x:f>
        <x:v>7460536.562643961</x:v>
      </x:c>
      <x:c r="AA21" s="82" t="n">
        <x:f aca="0">SUM(N21:Y21)</x:f>
        <x:v>14604276.823287506</x:v>
      </x:c>
      <x:c r="AB21" s="52"/>
      <x:c r="AC21" s="52"/>
    </x:row>
    <x:row r="22" ht="15.75" hidden="0" customHeight="1">
      <x:c r="A22" s="52" t="s">
        <x:v>214</x:v>
      </x:c>
      <x:c r="B22" s="70" t="n">
        <x:f aca="0">Assumptions!$B$89*(1+Assumptions!$B$92)^INT((COLUMN()-COLUMN($B$22))/12)</x:f>
        <x:v>150000</x:v>
      </x:c>
      <x:c r="C22" s="70" t="n">
        <x:f aca="0">Assumptions!$B$89*(1+Assumptions!$B$92)^INT((COLUMN()-COLUMN($B$22))/12)</x:f>
        <x:v>150000</x:v>
      </x:c>
      <x:c r="D22" s="70" t="n">
        <x:f aca="0">Assumptions!$B$89*(1+Assumptions!$B$92)^INT((COLUMN()-COLUMN($B$22))/12)</x:f>
        <x:v>150000</x:v>
      </x:c>
      <x:c r="E22" s="70" t="n">
        <x:f aca="0">Assumptions!$B$89*(1+Assumptions!$B$92)^INT((COLUMN()-COLUMN($B$22))/12)</x:f>
        <x:v>150000</x:v>
      </x:c>
      <x:c r="F22" s="70" t="n">
        <x:f aca="0">Assumptions!$B$89*(1+Assumptions!$B$92)^INT((COLUMN()-COLUMN($B$22))/12)</x:f>
        <x:v>150000</x:v>
      </x:c>
      <x:c r="G22" s="70" t="n">
        <x:f aca="0">Assumptions!$B$89*(1+Assumptions!$B$92)^INT((COLUMN()-COLUMN($B$22))/12)</x:f>
        <x:v>150000</x:v>
      </x:c>
      <x:c r="H22" s="70" t="n">
        <x:f aca="0">Assumptions!$B$89*(1+Assumptions!$B$92)^INT((COLUMN()-COLUMN($B$22))/12)</x:f>
        <x:v>150000</x:v>
      </x:c>
      <x:c r="I22" s="70" t="n">
        <x:f aca="0">Assumptions!$B$89*(1+Assumptions!$B$92)^INT((COLUMN()-COLUMN($B$22))/12)</x:f>
        <x:v>150000</x:v>
      </x:c>
      <x:c r="J22" s="70" t="n">
        <x:f aca="0">Assumptions!$B$89*(1+Assumptions!$B$92)^INT((COLUMN()-COLUMN($B$22))/12)</x:f>
        <x:v>150000</x:v>
      </x:c>
      <x:c r="K22" s="70" t="n">
        <x:f aca="0">Assumptions!$B$89*(1+Assumptions!$B$92)^INT((COLUMN()-COLUMN($B$22))/12)</x:f>
        <x:v>150000</x:v>
      </x:c>
      <x:c r="L22" s="70" t="n">
        <x:f aca="0">Assumptions!$B$89*(1+Assumptions!$B$92)^INT((COLUMN()-COLUMN($B$22))/12)</x:f>
        <x:v>150000</x:v>
      </x:c>
      <x:c r="M22" s="70" t="n">
        <x:f aca="0">Assumptions!$B$89*(1+Assumptions!$B$92)^INT((COLUMN()-COLUMN($B$22))/12)</x:f>
        <x:v>150000</x:v>
      </x:c>
      <x:c r="N22" s="70" t="n">
        <x:f aca="0">Assumptions!$B$89*(1+Assumptions!$B$92)^INT((COLUMN()-COLUMN($B$22))/12)</x:f>
        <x:v>165000</x:v>
      </x:c>
      <x:c r="O22" s="70" t="n">
        <x:f aca="0">Assumptions!$B$89*(1+Assumptions!$B$92)^INT((COLUMN()-COLUMN($B$22))/12)</x:f>
        <x:v>165000</x:v>
      </x:c>
      <x:c r="P22" s="70" t="n">
        <x:f aca="0">Assumptions!$B$89*(1+Assumptions!$B$92)^INT((COLUMN()-COLUMN($B$22))/12)</x:f>
        <x:v>165000</x:v>
      </x:c>
      <x:c r="Q22" s="70" t="n">
        <x:f aca="0">Assumptions!$B$89*(1+Assumptions!$B$92)^INT((COLUMN()-COLUMN($B$22))/12)</x:f>
        <x:v>165000</x:v>
      </x:c>
      <x:c r="R22" s="70" t="n">
        <x:f aca="0">Assumptions!$B$89*(1+Assumptions!$B$92)^INT((COLUMN()-COLUMN($B$22))/12)</x:f>
        <x:v>165000</x:v>
      </x:c>
      <x:c r="S22" s="70" t="n">
        <x:f aca="0">Assumptions!$B$89*(1+Assumptions!$B$92)^INT((COLUMN()-COLUMN($B$22))/12)</x:f>
        <x:v>165000</x:v>
      </x:c>
      <x:c r="T22" s="70" t="n">
        <x:f aca="0">Assumptions!$B$89*(1+Assumptions!$B$92)^INT((COLUMN()-COLUMN($B$22))/12)</x:f>
        <x:v>165000</x:v>
      </x:c>
      <x:c r="U22" s="70" t="n">
        <x:f aca="0">Assumptions!$B$89*(1+Assumptions!$B$92)^INT((COLUMN()-COLUMN($B$22))/12)</x:f>
        <x:v>165000</x:v>
      </x:c>
      <x:c r="V22" s="70" t="n">
        <x:f aca="0">Assumptions!$B$89*(1+Assumptions!$B$92)^INT((COLUMN()-COLUMN($B$22))/12)</x:f>
        <x:v>165000</x:v>
      </x:c>
      <x:c r="W22" s="70" t="n">
        <x:f aca="0">Assumptions!$B$89*(1+Assumptions!$B$92)^INT((COLUMN()-COLUMN($B$22))/12)</x:f>
        <x:v>165000</x:v>
      </x:c>
      <x:c r="X22" s="70" t="n">
        <x:f aca="0">Assumptions!$B$89*(1+Assumptions!$B$92)^INT((COLUMN()-COLUMN($B$22))/12)</x:f>
        <x:v>165000</x:v>
      </x:c>
      <x:c r="Y22" s="70" t="n">
        <x:f aca="0">Assumptions!$B$89*(1+Assumptions!$B$92)^INT((COLUMN()-COLUMN($B$22))/12)</x:f>
        <x:v>165000</x:v>
      </x:c>
      <x:c r="Z22" s="70" t="n">
        <x:f aca="0">SUM(B22:M22)</x:f>
        <x:v>1800000</x:v>
      </x:c>
      <x:c r="AA22" s="70" t="n">
        <x:f aca="0">SUM(N22:Y22)</x:f>
        <x:v>1980000</x:v>
      </x:c>
      <x:c r="AB22" s="52"/>
      <x:c r="AC22" s="52"/>
    </x:row>
    <x:row r="23" ht="31.5" hidden="0" customHeight="1">
      <x:c r="A23" s="52" t="s">
        <x:v>215</x:v>
      </x:c>
      <x:c r="B23" s="70" t="n">
        <x:f aca="0">B10*Assumptions!$B$90*(1+Assumptions!$B$92)^INT((COLUMN()-COLUMN($B$23))/12)</x:f>
        <x:v>15072.6087835702</x:v>
      </x:c>
      <x:c r="C23" s="70" t="n">
        <x:f aca="0">C10*Assumptions!$B$90*(1+Assumptions!$B$92)^INT((COLUMN()-COLUMN($B$23))/12)</x:f>
        <x:v>29908.115391468917</x:v>
      </x:c>
      <x:c r="D23" s="70" t="n">
        <x:f aca="0">D10*Assumptions!$B$90*(1+Assumptions!$B$92)^INT((COLUMN()-COLUMN($B$23))/12)</x:f>
        <x:v>44580.39288937084</x:v>
      </x:c>
      <x:c r="E23" s="70" t="n">
        <x:f aca="0">E10*Assumptions!$B$90*(1+Assumptions!$B$92)^INT((COLUMN()-COLUMN($B$23))/12)</x:f>
        <x:v>59160.85966619376</x:v>
      </x:c>
      <x:c r="F23" s="70" t="n">
        <x:f aca="0">F10*Assumptions!$B$90*(1+Assumptions!$B$92)^INT((COLUMN()-COLUMN($B$23))/12)</x:f>
        <x:v>73718.87507459923</x:v>
      </x:c>
      <x:c r="G23" s="70" t="n">
        <x:f aca="0">G10*Assumptions!$B$90*(1+Assumptions!$B$92)^INT((COLUMN()-COLUMN($B$23))/12)</x:f>
        <x:v>88322.11577842181</x:v>
      </x:c>
      <x:c r="H23" s="70" t="n">
        <x:f aca="0">H10*Assumptions!$B$90*(1+Assumptions!$B$92)^INT((COLUMN()-COLUMN($B$23))/12)</x:f>
        <x:v>103036.93507185414</x:v>
      </x:c>
      <x:c r="I23" s="70" t="n">
        <x:f aca="0">I10*Assumptions!$B$90*(1+Assumptions!$B$92)^INT((COLUMN()-COLUMN($B$23))/12)</x:f>
        <x:v>117928.70729831597</x:v>
      </x:c>
      <x:c r="J23" s="70" t="n">
        <x:f aca="0">J10*Assumptions!$B$90*(1+Assumptions!$B$92)^INT((COLUMN()-COLUMN($B$23))/12)</x:f>
        <x:v>133062.15937359713</x:v>
      </x:c>
      <x:c r="K23" s="70" t="n">
        <x:f aca="0">K10*Assumptions!$B$90*(1+Assumptions!$B$92)^INT((COLUMN()-COLUMN($B$23))/12)</x:f>
        <x:v>148501.69130715798</x:v>
      </x:c>
      <x:c r="L23" s="70" t="n">
        <x:f aca="0">L10*Assumptions!$B$90*(1+Assumptions!$B$92)^INT((COLUMN()-COLUMN($B$23))/12)</x:f>
        <x:v>164311.68751655665</x:v>
      </x:c>
      <x:c r="M23" s="70" t="n">
        <x:f aca="0">M10*Assumptions!$B$90*(1+Assumptions!$B$92)^INT((COLUMN()-COLUMN($B$23))/12)</x:f>
        <x:v>180556.82064208173</x:v>
      </x:c>
      <x:c r="N23" s="70" t="n">
        <x:f aca="0">N10*Assumptions!$B$90*(1+Assumptions!$B$92)^INT((COLUMN()-COLUMN($B$23))/12)</x:f>
        <x:v>215931.01044654325</x:v>
      </x:c>
      <x:c r="O23" s="70" t="n">
        <x:f aca="0">O10*Assumptions!$B$90*(1+Assumptions!$B$92)^INT((COLUMN()-COLUMN($B$23))/12)</x:f>
        <x:v>232760.92110304217</x:v>
      </x:c>
      <x:c r="P23" s="70" t="n">
        <x:f aca="0">P10*Assumptions!$B$90*(1+Assumptions!$B$92)^INT((COLUMN()-COLUMN($B$23))/12)</x:f>
        <x:v>249160.4097390463</x:v>
      </x:c>
      <x:c r="Q23" s="70" t="n">
        <x:f aca="0">Q10*Assumptions!$B$90*(1+Assumptions!$B$92)^INT((COLUMN()-COLUMN($B$23))/12)</x:f>
        <x:v>265183.6413347599</x:v>
      </x:c>
      <x:c r="R23" s="70" t="n">
        <x:f aca="0">R10*Assumptions!$B$90*(1+Assumptions!$B$92)^INT((COLUMN()-COLUMN($B$23))/12)</x:f>
        <x:v>280881.0993550467</x:v>
      </x:c>
      <x:c r="S23" s="70" t="n">
        <x:f aca="0">S10*Assumptions!$B$90*(1+Assumptions!$B$92)^INT((COLUMN()-COLUMN($B$23))/12)</x:f>
        <x:v>296299.88864260376</x:v>
      </x:c>
      <x:c r="T23" s="70" t="n">
        <x:f aca="0">T10*Assumptions!$B$90*(1+Assumptions!$B$92)^INT((COLUMN()-COLUMN($B$23))/12)</x:f>
        <x:v>311484.01468498586</x:v>
      </x:c>
      <x:c r="U23" s="70" t="n">
        <x:f aca="0">U10*Assumptions!$B$90*(1+Assumptions!$B$92)^INT((COLUMN()-COLUMN($B$23))/12)</x:f>
        <x:v>326474.6411409062</x:v>
      </x:c>
      <x:c r="V23" s="70" t="n">
        <x:f aca="0">V10*Assumptions!$B$90*(1+Assumptions!$B$92)^INT((COLUMN()-COLUMN($B$23))/12)</x:f>
        <x:v>341310.3273612759</x:v>
      </x:c>
      <x:c r="W23" s="70" t="n">
        <x:f aca="0">W10*Assumptions!$B$90*(1+Assumptions!$B$92)^INT((COLUMN()-COLUMN($B$23))/12)</x:f>
        <x:v>356027.24750245415</x:v>
      </x:c>
      <x:c r="X23" s="70" t="n">
        <x:f aca="0">X10*Assumptions!$B$90*(1+Assumptions!$B$92)^INT((COLUMN()-COLUMN($B$23))/12)</x:f>
        <x:v>370659.3927022049</x:v>
      </x:c>
      <x:c r="Y23" s="70" t="n">
        <x:f aca="0">Y10*Assumptions!$B$90*(1+Assumptions!$B$92)^INT((COLUMN()-COLUMN($B$23))/12)</x:f>
        <x:v>385238.75767200836</x:v>
      </x:c>
      <x:c r="Z23" s="70" t="n">
        <x:f aca="0">SUM(B23:M23)</x:f>
        <x:v>1158160.9687931885</x:v>
      </x:c>
      <x:c r="AA23" s="70" t="n">
        <x:f aca="0">SUM(N23:Y23)</x:f>
        <x:v>3631411.3516848776</x:v>
      </x:c>
      <x:c r="AB23" s="52"/>
      <x:c r="AC23" s="52"/>
    </x:row>
    <x:row r="24" ht="15" hidden="0" customHeight="1">
      <x:c r="A24" s="81" t="s">
        <x:v>216</x:v>
      </x:c>
      <x:c r="B24" s="82" t="n">
        <x:f aca="0">SUM(B22:B23)</x:f>
        <x:v>165072.6087835702</x:v>
      </x:c>
      <x:c r="C24" s="82" t="n">
        <x:f aca="0">SUM(C22:C23)</x:f>
        <x:v>179908.11539146892</x:v>
      </x:c>
      <x:c r="D24" s="82" t="n">
        <x:f aca="0">SUM(D22:D23)</x:f>
        <x:v>194580.39288937085</x:v>
      </x:c>
      <x:c r="E24" s="82" t="n">
        <x:f aca="0">SUM(E22:E23)</x:f>
        <x:v>209160.85966619378</x:v>
      </x:c>
      <x:c r="F24" s="82" t="n">
        <x:f aca="0">SUM(F22:F23)</x:f>
        <x:v>223718.87507459923</x:v>
      </x:c>
      <x:c r="G24" s="82" t="n">
        <x:f aca="0">SUM(G22:G23)</x:f>
        <x:v>238322.1157784218</x:v>
      </x:c>
      <x:c r="H24" s="82" t="n">
        <x:f aca="0">SUM(H22:H23)</x:f>
        <x:v>253036.93507185415</x:v>
      </x:c>
      <x:c r="I24" s="82" t="n">
        <x:f aca="0">SUM(I22:I23)</x:f>
        <x:v>267928.70729831595</x:v>
      </x:c>
      <x:c r="J24" s="82" t="n">
        <x:f aca="0">SUM(J22:J23)</x:f>
        <x:v>283062.1593735971</x:v>
      </x:c>
      <x:c r="K24" s="82" t="n">
        <x:f aca="0">SUM(K22:K23)</x:f>
        <x:v>298501.691307158</x:v>
      </x:c>
      <x:c r="L24" s="82" t="n">
        <x:f aca="0">SUM(L22:L23)</x:f>
        <x:v>314311.68751655665</x:v>
      </x:c>
      <x:c r="M24" s="82" t="n">
        <x:f aca="0">SUM(M22:M23)</x:f>
        <x:v>330556.82064208173</x:v>
      </x:c>
      <x:c r="N24" s="82" t="n">
        <x:f aca="0">SUM(N22:N23)</x:f>
        <x:v>380931.0104465432</x:v>
      </x:c>
      <x:c r="O24" s="82" t="n">
        <x:f aca="0">SUM(O22:O23)</x:f>
        <x:v>397760.9211030422</x:v>
      </x:c>
      <x:c r="P24" s="82" t="n">
        <x:f aca="0">SUM(P22:P23)</x:f>
        <x:v>414160.4097390463</x:v>
      </x:c>
      <x:c r="Q24" s="82" t="n">
        <x:f aca="0">SUM(Q22:Q23)</x:f>
        <x:v>430183.6413347599</x:v>
      </x:c>
      <x:c r="R24" s="82" t="n">
        <x:f aca="0">SUM(R22:R23)</x:f>
        <x:v>445881.0993550467</x:v>
      </x:c>
      <x:c r="S24" s="82" t="n">
        <x:f aca="0">SUM(S22:S23)</x:f>
        <x:v>461299.88864260376</x:v>
      </x:c>
      <x:c r="T24" s="82" t="n">
        <x:f aca="0">SUM(T22:T23)</x:f>
        <x:v>476484.01468498586</x:v>
      </x:c>
      <x:c r="U24" s="82" t="n">
        <x:f aca="0">SUM(U22:U23)</x:f>
        <x:v>491474.6411409062</x:v>
      </x:c>
      <x:c r="V24" s="82" t="n">
        <x:f aca="0">SUM(V22:V23)</x:f>
        <x:v>506310.3273612759</x:v>
      </x:c>
      <x:c r="W24" s="82" t="n">
        <x:f aca="0">SUM(W22:W23)</x:f>
        <x:v>521027.24750245415</x:v>
      </x:c>
      <x:c r="X24" s="82" t="n">
        <x:f aca="0">SUM(X22:X23)</x:f>
        <x:v>535659.3927022049</x:v>
      </x:c>
      <x:c r="Y24" s="82" t="n">
        <x:f aca="0">SUM(Y22:Y23)</x:f>
        <x:v>550238.7576720084</x:v>
      </x:c>
      <x:c r="Z24" s="82" t="n">
        <x:f aca="0">SUM(B24:M24)</x:f>
        <x:v>2958160.968793188</x:v>
      </x:c>
      <x:c r="AA24" s="82" t="n">
        <x:f aca="0">SUM(N24:Y24)</x:f>
        <x:v>5611411.351684878</x:v>
      </x:c>
      <x:c r="AB24" s="52"/>
      <x:c r="AC24" s="52"/>
    </x:row>
    <x:row r="25" ht="15.75" hidden="0" customHeight="1">
      <x:c r="A25" s="52" t="s">
        <x:v>217</x:v>
      </x:c>
      <x:c r="B25" s="70" t="n">
        <x:f aca="0">Assumptions!$B$93</x:f>
        <x:v>0</x:v>
      </x:c>
      <x:c r="C25" s="70" t="n">
        <x:f aca="0">Assumptions!$B$93</x:f>
        <x:v>0</x:v>
      </x:c>
      <x:c r="D25" s="70" t="n">
        <x:f aca="0">Assumptions!$B$93</x:f>
        <x:v>0</x:v>
      </x:c>
      <x:c r="E25" s="70" t="n">
        <x:f aca="0">Assumptions!$B$93</x:f>
        <x:v>0</x:v>
      </x:c>
      <x:c r="F25" s="70" t="n">
        <x:f aca="0">Assumptions!$B$93</x:f>
        <x:v>0</x:v>
      </x:c>
      <x:c r="G25" s="70" t="n">
        <x:f aca="0">Assumptions!$B$93</x:f>
        <x:v>0</x:v>
      </x:c>
      <x:c r="H25" s="70" t="n">
        <x:f aca="0">Assumptions!$B$93</x:f>
        <x:v>0</x:v>
      </x:c>
      <x:c r="I25" s="70" t="n">
        <x:f aca="0">Assumptions!$B$93</x:f>
        <x:v>0</x:v>
      </x:c>
      <x:c r="J25" s="70" t="n">
        <x:f aca="0">Assumptions!$B$93</x:f>
        <x:v>0</x:v>
      </x:c>
      <x:c r="K25" s="70" t="n">
        <x:f aca="0">Assumptions!$B$93</x:f>
        <x:v>0</x:v>
      </x:c>
      <x:c r="L25" s="70" t="n">
        <x:f aca="0">Assumptions!$B$93</x:f>
        <x:v>0</x:v>
      </x:c>
      <x:c r="M25" s="70" t="n">
        <x:f aca="0">Assumptions!$B$93</x:f>
        <x:v>0</x:v>
      </x:c>
      <x:c r="N25" s="70" t="n">
        <x:f aca="0">Assumptions!$B$93</x:f>
        <x:v>0</x:v>
      </x:c>
      <x:c r="O25" s="70" t="n">
        <x:f aca="0">Assumptions!$B$93</x:f>
        <x:v>0</x:v>
      </x:c>
      <x:c r="P25" s="70" t="n">
        <x:f aca="0">Assumptions!$B$93</x:f>
        <x:v>0</x:v>
      </x:c>
      <x:c r="Q25" s="70" t="n">
        <x:f aca="0">Assumptions!$B$93</x:f>
        <x:v>0</x:v>
      </x:c>
      <x:c r="R25" s="70" t="n">
        <x:f aca="0">Assumptions!$B$93</x:f>
        <x:v>0</x:v>
      </x:c>
      <x:c r="S25" s="70" t="n">
        <x:f aca="0">Assumptions!$B$93</x:f>
        <x:v>0</x:v>
      </x:c>
      <x:c r="T25" s="70" t="n">
        <x:f aca="0">Assumptions!$B$93</x:f>
        <x:v>0</x:v>
      </x:c>
      <x:c r="U25" s="70" t="n">
        <x:f aca="0">Assumptions!$B$93</x:f>
        <x:v>0</x:v>
      </x:c>
      <x:c r="V25" s="70" t="n">
        <x:f aca="0">Assumptions!$B$93</x:f>
        <x:v>0</x:v>
      </x:c>
      <x:c r="W25" s="70" t="n">
        <x:f aca="0">Assumptions!$B$93</x:f>
        <x:v>0</x:v>
      </x:c>
      <x:c r="X25" s="70" t="n">
        <x:f aca="0">Assumptions!$B$93</x:f>
        <x:v>0</x:v>
      </x:c>
      <x:c r="Y25" s="70" t="n">
        <x:f aca="0">Assumptions!$B$93</x:f>
        <x:v>0</x:v>
      </x:c>
      <x:c r="Z25" s="70" t="n">
        <x:f aca="0">SUM(B25:M25)</x:f>
        <x:v>0</x:v>
      </x:c>
      <x:c r="AA25" s="70" t="n">
        <x:f aca="0">SUM(N25:Y25)</x:f>
        <x:v>0</x:v>
      </x:c>
      <x:c r="AB25" s="52"/>
      <x:c r="AC25" s="52"/>
    </x:row>
    <x:row r="26" ht="15.75" hidden="0" customHeight="1">
      <x:c r="A26" s="52" t="s">
        <x:v>218</x:v>
      </x:c>
      <x:c r="B26" s="69" t="n">
        <x:f aca="0">IF(COLUMN()-COLUMN($B$26)+1=Assumptions!$B$75,Assumptions!$B$91,0)</x:f>
        <x:v>2000000</x:v>
      </x:c>
      <x:c r="C26" s="69" t="n">
        <x:f aca="0">IF(COLUMN()-COLUMN($B$26)+1=Assumptions!$B$75,Assumptions!$B$91,0)</x:f>
        <x:v>0</x:v>
      </x:c>
      <x:c r="D26" s="69" t="n">
        <x:f aca="0">IF(COLUMN()-COLUMN($B$26)+1=Assumptions!$B$75,Assumptions!$B$91,0)</x:f>
        <x:v>0</x:v>
      </x:c>
      <x:c r="E26" s="69" t="n">
        <x:f aca="0">IF(COLUMN()-COLUMN($B$26)+1=Assumptions!$B$75,Assumptions!$B$91,0)</x:f>
        <x:v>0</x:v>
      </x:c>
      <x:c r="F26" s="69" t="n">
        <x:f aca="0">IF(COLUMN()-COLUMN($B$26)+1=Assumptions!$B$75,Assumptions!$B$91,0)</x:f>
        <x:v>0</x:v>
      </x:c>
      <x:c r="G26" s="69" t="n">
        <x:f aca="0">IF(COLUMN()-COLUMN($B$26)+1=Assumptions!$B$75,Assumptions!$B$91,0)</x:f>
        <x:v>0</x:v>
      </x:c>
      <x:c r="H26" s="69" t="n">
        <x:f aca="0">IF(COLUMN()-COLUMN($B$26)+1=Assumptions!$B$75,Assumptions!$B$91,0)</x:f>
        <x:v>0</x:v>
      </x:c>
      <x:c r="I26" s="69" t="n">
        <x:f aca="0">IF(COLUMN()-COLUMN($B$26)+1=Assumptions!$B$75,Assumptions!$B$91,0)</x:f>
        <x:v>0</x:v>
      </x:c>
      <x:c r="J26" s="69" t="n">
        <x:f aca="0">IF(COLUMN()-COLUMN($B$26)+1=Assumptions!$B$75,Assumptions!$B$91,0)</x:f>
        <x:v>0</x:v>
      </x:c>
      <x:c r="K26" s="69" t="n">
        <x:f aca="0">IF(COLUMN()-COLUMN($B$26)+1=Assumptions!$B$75,Assumptions!$B$91,0)</x:f>
        <x:v>0</x:v>
      </x:c>
      <x:c r="L26" s="69" t="n">
        <x:f aca="0">IF(COLUMN()-COLUMN($B$26)+1=Assumptions!$B$75,Assumptions!$B$91,0)</x:f>
        <x:v>0</x:v>
      </x:c>
      <x:c r="M26" s="69" t="n">
        <x:f aca="0">IF(COLUMN()-COLUMN($B$26)+1=Assumptions!$B$75,Assumptions!$B$91,0)</x:f>
        <x:v>0</x:v>
      </x:c>
      <x:c r="N26" s="69" t="n">
        <x:f aca="0">IF(COLUMN()-COLUMN($B$26)+1=Assumptions!$B$75,Assumptions!$B$91,0)</x:f>
        <x:v>0</x:v>
      </x:c>
      <x:c r="O26" s="69" t="n">
        <x:f aca="0">IF(COLUMN()-COLUMN($B$26)+1=Assumptions!$B$75,Assumptions!$B$91,0)</x:f>
        <x:v>0</x:v>
      </x:c>
      <x:c r="P26" s="69" t="n">
        <x:f aca="0">IF(COLUMN()-COLUMN($B$26)+1=Assumptions!$B$75,Assumptions!$B$91,0)</x:f>
        <x:v>0</x:v>
      </x:c>
      <x:c r="Q26" s="69" t="n">
        <x:f aca="0">IF(COLUMN()-COLUMN($B$26)+1=Assumptions!$B$75,Assumptions!$B$91,0)</x:f>
        <x:v>0</x:v>
      </x:c>
      <x:c r="R26" s="69" t="n">
        <x:f aca="0">IF(COLUMN()-COLUMN($B$26)+1=Assumptions!$B$75,Assumptions!$B$91,0)</x:f>
        <x:v>0</x:v>
      </x:c>
      <x:c r="S26" s="69" t="n">
        <x:f aca="0">IF(COLUMN()-COLUMN($B$26)+1=Assumptions!$B$75,Assumptions!$B$91,0)</x:f>
        <x:v>0</x:v>
      </x:c>
      <x:c r="T26" s="69" t="n">
        <x:f aca="0">IF(COLUMN()-COLUMN($B$26)+1=Assumptions!$B$75,Assumptions!$B$91,0)</x:f>
        <x:v>0</x:v>
      </x:c>
      <x:c r="U26" s="69" t="n">
        <x:f aca="0">IF(COLUMN()-COLUMN($B$26)+1=Assumptions!$B$75,Assumptions!$B$91,0)</x:f>
        <x:v>0</x:v>
      </x:c>
      <x:c r="V26" s="69" t="n">
        <x:f aca="0">IF(COLUMN()-COLUMN($B$26)+1=Assumptions!$B$75,Assumptions!$B$91,0)</x:f>
        <x:v>0</x:v>
      </x:c>
      <x:c r="W26" s="69" t="n">
        <x:f aca="0">IF(COLUMN()-COLUMN($B$26)+1=Assumptions!$B$75,Assumptions!$B$91,0)</x:f>
        <x:v>0</x:v>
      </x:c>
      <x:c r="X26" s="69" t="n">
        <x:f aca="0">IF(COLUMN()-COLUMN($B$26)+1=Assumptions!$B$75,Assumptions!$B$91,0)</x:f>
        <x:v>0</x:v>
      </x:c>
      <x:c r="Y26" s="69" t="n">
        <x:f aca="0">IF(COLUMN()-COLUMN($B$26)+1=Assumptions!$B$75,Assumptions!$B$91,0)</x:f>
        <x:v>0</x:v>
      </x:c>
      <x:c r="Z26" s="70" t="n">
        <x:f aca="0">SUM(B26:M26)</x:f>
        <x:v>2000000</x:v>
      </x:c>
      <x:c r="AA26" s="70" t="n">
        <x:f aca="0">SUM(N26:Y26)</x:f>
        <x:v>0</x:v>
      </x:c>
      <x:c r="AB26" s="52"/>
      <x:c r="AC26" s="52"/>
    </x:row>
    <x:row r="27" ht="15.75" hidden="0" customHeight="1">
      <x:c r="A27" s="71" t="s">
        <x:v>219</x:v>
      </x:c>
      <x:c r="B27" s="72" t="n">
        <x:f aca="0">SUM(B15,B18,B21,B24,B25)</x:f>
        <x:v>3561738.980518864</x:v>
      </x:c>
      <x:c r="C27" s="72" t="n">
        <x:f aca="0">SUM(C15,C18,C21,C24,C25)</x:f>
        <x:v>3710995.8324272446</x:v>
      </x:c>
      <x:c r="D27" s="72" t="n">
        <x:f aca="0">SUM(D15,D18,D21,D24,D25)</x:f>
        <x:v>3866444.894308834</x:v>
      </x:c>
      <x:c r="E27" s="72" t="n">
        <x:f aca="0">SUM(E15,E18,E21,E24,E25)</x:f>
        <x:v>4028955.888181604</x:v>
      </x:c>
      <x:c r="F27" s="72" t="n">
        <x:f aca="0">SUM(F15,F18,F21,F24,F25)</x:f>
        <x:v>4199435.1052504955</x:v>
      </x:c>
      <x:c r="G27" s="72" t="n">
        <x:f aca="0">SUM(G15,G18,G21,G24,G25)</x:f>
        <x:v>4378830.730670485</x:v>
      </x:c>
      <x:c r="H27" s="72" t="n">
        <x:f aca="0">SUM(H15,H18,H21,H24,H25)</x:f>
        <x:v>5168138.394467234</x:v>
      </x:c>
      <x:c r="I27" s="72" t="n">
        <x:f aca="0">SUM(I15,I18,I21,I24,I25)</x:f>
        <x:v>5368406.9821920255</x:v>
      </x:c>
      <x:c r="J27" s="72" t="n">
        <x:f aca="0">SUM(J15,J18,J21,J24,J25)</x:f>
        <x:v>5580744.740330869</x:v>
      </x:c>
      <x:c r="K27" s="72" t="n">
        <x:f aca="0">SUM(K15,K18,K21,K24,K25)</x:f>
        <x:v>5806325.713146243</x:v>
      </x:c>
      <x:c r="L27" s="72" t="n">
        <x:f aca="0">SUM(L15,L18,L21,L24,L25)</x:f>
        <x:v>6046396.549513168</x:v>
      </x:c>
      <x:c r="M27" s="72" t="n">
        <x:f aca="0">SUM(M15,M18,M21,M24,M25)</x:f>
        <x:v>6302283.720430085</x:v>
      </x:c>
      <x:c r="N27" s="72" t="n">
        <x:f aca="0">SUM(N15,N18,N21,N24,N25)</x:f>
        <x:v>7868600.739072432</x:v>
      </x:c>
      <x:c r="O27" s="72" t="n">
        <x:f aca="0">SUM(O15,O18,O21,O24,O25)</x:f>
        <x:v>7936430.37899105</x:v>
      </x:c>
      <x:c r="P27" s="72" t="n">
        <x:f aca="0">SUM(P15,P18,P21,P24,P25)</x:f>
        <x:v>8002525.287736157</x:v>
      </x:c>
      <x:c r="Q27" s="72" t="n">
        <x:f aca="0">SUM(Q15,Q18,Q21,Q24,Q25)</x:f>
        <x:v>8067103.7665916085</x:v>
      </x:c>
      <x:c r="R27" s="72" t="n">
        <x:f aca="0">SUM(R15,R18,R21,R24,R25)</x:f>
        <x:v>8130369.2792188255</x:v>
      </x:c>
      <x:c r="S27" s="72" t="n">
        <x:f aca="0">SUM(S15,S18,S21,S24,S25)</x:f>
        <x:v>8192511.67240807</x:v>
      </x:c>
      <x:c r="T27" s="72" t="n">
        <x:f aca="0">SUM(T15,T18,T21,T24,T25)</x:f>
        <x:v>8253708.301609186</x:v>
      </x:c>
      <x:c r="U27" s="72" t="n">
        <x:f aca="0">SUM(U15,U18,U21,U24,U25)</x:f>
        <x:v>8314125.068840623</x:v>
      </x:c>
      <x:c r="V27" s="72" t="n">
        <x:f aca="0">SUM(V15,V18,V21,V24,V25)</x:f>
        <x:v>8373917.379971204</x:v>
      </x:c>
      <x:c r="W27" s="72" t="n">
        <x:f aca="0">SUM(W15,W18,W21,W24,W25)</x:f>
        <x:v>8433231.027812922</x:v>
      </x:c>
      <x:c r="X27" s="72" t="n">
        <x:f aca="0">SUM(X15,X18,X21,X24,X25)</x:f>
        <x:v>8492203.006951312</x:v>
      </x:c>
      <x:c r="Y27" s="72" t="n">
        <x:f aca="0">SUM(Y15,Y18,Y21,Y24,Y25)</x:f>
        <x:v>8550962.265769005</x:v>
      </x:c>
      <x:c r="Z27" s="72" t="n">
        <x:f aca="0">SUM(B27:M27)</x:f>
        <x:v>58018697.53143716</x:v>
      </x:c>
      <x:c r="AA27" s="72" t="n">
        <x:f aca="0">SUM(N27:Y27)</x:f>
        <x:v>98615688.17497241</x:v>
      </x:c>
      <x:c r="AB27" s="52"/>
      <x:c r="AC27" s="52"/>
    </x:row>
    <x:row r="28" ht="31.5" hidden="0" customHeight="1">
      <x:c r="A28" s="83" t="s">
        <x:v>220</x:v>
      </x:c>
      <x:c r="B28" s="84" t="n">
        <x:f aca="0">SUM(B14,B26,B27)</x:f>
        <x:v>11561738.980518864</x:v>
      </x:c>
      <x:c r="C28" s="84" t="n">
        <x:f aca="0">SUM(C14,C26,C27)</x:f>
        <x:v>3710995.8324272446</x:v>
      </x:c>
      <x:c r="D28" s="84" t="n">
        <x:f aca="0">SUM(D14,D26,D27)</x:f>
        <x:v>3866444.894308834</x:v>
      </x:c>
      <x:c r="E28" s="84" t="n">
        <x:f aca="0">SUM(E14,E26,E27)</x:f>
        <x:v>4028955.888181604</x:v>
      </x:c>
      <x:c r="F28" s="84" t="n">
        <x:f aca="0">SUM(F14,F26,F27)</x:f>
        <x:v>4199435.1052504955</x:v>
      </x:c>
      <x:c r="G28" s="84" t="n">
        <x:f aca="0">SUM(G14,G26,G27)</x:f>
        <x:v>4378830.730670485</x:v>
      </x:c>
      <x:c r="H28" s="84" t="n">
        <x:f aca="0">SUM(H14,H26,H27)</x:f>
        <x:v>5168138.394467234</x:v>
      </x:c>
      <x:c r="I28" s="84" t="n">
        <x:f aca="0">SUM(I14,I26,I27)</x:f>
        <x:v>5368406.9821920255</x:v>
      </x:c>
      <x:c r="J28" s="84" t="n">
        <x:f aca="0">SUM(J14,J26,J27)</x:f>
        <x:v>5580744.740330869</x:v>
      </x:c>
      <x:c r="K28" s="84" t="n">
        <x:f aca="0">SUM(K14,K26,K27)</x:f>
        <x:v>5806325.713146243</x:v>
      </x:c>
      <x:c r="L28" s="84" t="n">
        <x:f aca="0">SUM(L14,L26,L27)</x:f>
        <x:v>6046396.549513168</x:v>
      </x:c>
      <x:c r="M28" s="84" t="n">
        <x:f aca="0">SUM(M14,M26,M27)</x:f>
        <x:v>6302283.720430085</x:v>
      </x:c>
      <x:c r="N28" s="84" t="n">
        <x:f aca="0">SUM(N14,N26,N27)</x:f>
        <x:v>7868600.739072432</x:v>
      </x:c>
      <x:c r="O28" s="84" t="n">
        <x:f aca="0">SUM(O14,O26,O27)</x:f>
        <x:v>7936430.37899105</x:v>
      </x:c>
      <x:c r="P28" s="84" t="n">
        <x:f aca="0">SUM(P14,P26,P27)</x:f>
        <x:v>8002525.287736157</x:v>
      </x:c>
      <x:c r="Q28" s="84" t="n">
        <x:f aca="0">SUM(Q14,Q26,Q27)</x:f>
        <x:v>8067103.7665916085</x:v>
      </x:c>
      <x:c r="R28" s="84" t="n">
        <x:f aca="0">SUM(R14,R26,R27)</x:f>
        <x:v>8130369.2792188255</x:v>
      </x:c>
      <x:c r="S28" s="84" t="n">
        <x:f aca="0">SUM(S14,S26,S27)</x:f>
        <x:v>8192511.67240807</x:v>
      </x:c>
      <x:c r="T28" s="84" t="n">
        <x:f aca="0">SUM(T14,T26,T27)</x:f>
        <x:v>8253708.301609186</x:v>
      </x:c>
      <x:c r="U28" s="84" t="n">
        <x:f aca="0">SUM(U14,U26,U27)</x:f>
        <x:v>8314125.068840623</x:v>
      </x:c>
      <x:c r="V28" s="84" t="n">
        <x:f aca="0">SUM(V14,V26,V27)</x:f>
        <x:v>8373917.379971204</x:v>
      </x:c>
      <x:c r="W28" s="84" t="n">
        <x:f aca="0">SUM(W14,W26,W27)</x:f>
        <x:v>8433231.027812922</x:v>
      </x:c>
      <x:c r="X28" s="84" t="n">
        <x:f aca="0">SUM(X14,X26,X27)</x:f>
        <x:v>8492203.006951312</x:v>
      </x:c>
      <x:c r="Y28" s="84" t="n">
        <x:f aca="0">SUM(Y14,Y26,Y27)</x:f>
        <x:v>8550962.265769005</x:v>
      </x:c>
      <x:c r="Z28" s="85" t="n">
        <x:f aca="0">SUM(B28:M28)</x:f>
        <x:v>66018697.53143714</x:v>
      </x:c>
      <x:c r="AA28" s="85" t="n">
        <x:f aca="0">SUM(N28:Y28)</x:f>
        <x:v>98615688.17497241</x:v>
      </x:c>
      <x:c r="AB28" s="52"/>
      <x:c r="AC28" s="52"/>
    </x:row>
    <x:row r="29" ht="15.75" hidden="0" customHeight="1">
      <x:c r="A29" s="58" t="s">
        <x:v>221</x:v>
      </x:c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  <x:c r="P29" s="58"/>
      <x:c r="Q29" s="58"/>
      <x:c r="R29" s="58"/>
      <x:c r="S29" s="58"/>
      <x:c r="T29" s="58"/>
      <x:c r="U29" s="58"/>
      <x:c r="V29" s="58"/>
      <x:c r="W29" s="58"/>
      <x:c r="X29" s="58"/>
      <x:c r="Y29" s="58"/>
      <x:c r="Z29" s="58"/>
      <x:c r="AA29" s="58"/>
      <x:c r="AB29" s="59"/>
      <x:c r="AC29" s="59"/>
    </x:row>
    <x:row r="30" ht="13.5" hidden="0" customHeight="1">
      <x:c r="A30" s="75" t="s">
        <x:v>222</x:v>
      </x:c>
      <x:c r="B30" s="86" t="n">
        <x:f aca="0">IFERROR(B18/B27,0)</x:f>
        <x:v>0.29379590929605026</x:v>
      </x:c>
      <x:c r="C30" s="86" t="n">
        <x:f aca="0">IFERROR(C18/C27,0)</x:f>
        <x:v>0.30487611685734595</x:v>
      </x:c>
      <x:c r="D30" s="86" t="n">
        <x:f aca="0">IFERROR(D18/D27,0)</x:f>
        <x:v>0.3163793162004699</x:v>
      </x:c>
      <x:c r="E30" s="86" t="n">
        <x:f aca="0">IFERROR(E18/E27,0)</x:f>
        <x:v>0.3282716911448636</x:v>
      </x:c>
      <x:c r="F30" s="86" t="n">
        <x:f aca="0">IFERROR(F18/F27,0)</x:f>
        <x:v>0.34051881044810206</x:v>
      </x:c>
      <x:c r="G30" s="86" t="n">
        <x:f aca="0">IFERROR(G18/G27,0)</x:f>
        <x:v>0.35308548272213874</x:v>
      </x:c>
      <x:c r="H30" s="86" t="n">
        <x:f aca="0">IFERROR(H18/H27,0)</x:f>
        <x:v>0.3234520598259232</x:v>
      </x:c>
      <x:c r="I30" s="86" t="n">
        <x:f aca="0">IFERROR(I18/I27,0)</x:f>
        <x:v>0.3366701872445097</x:v>
      </x:c>
      <x:c r="J30" s="86" t="n">
        <x:f aca="0">IFERROR(J18/J27,0)</x:f>
        <x:v>0.35015793422511765</x:v>
      </x:c>
      <x:c r="K30" s="86" t="n">
        <x:f aca="0">IFERROR(K18/K27,0)</x:f>
        <x:v>0.3638821672309693</x:v>
      </x:c>
      <x:c r="L30" s="86" t="n">
        <x:f aca="0">IFERROR(L18/L27,0)</x:f>
        <x:v>0.37780837201710665</x:v>
      </x:c>
      <x:c r="M30" s="86" t="n">
        <x:f aca="0">IFERROR(M18/M27,0)</x:f>
        <x:v>0.39190092679808997</x:v>
      </x:c>
      <x:c r="N30" s="86" t="n">
        <x:f aca="0">IFERROR(N18/N27,0)</x:f>
        <x:v>0.4236246626139369</x:v>
      </x:c>
      <x:c r="O30" s="86" t="n">
        <x:f aca="0">IFERROR(O18/O27,0)</x:f>
        <x:v>0.42000410438390273</x:v>
      </x:c>
      <x:c r="P30" s="86" t="n">
        <x:f aca="0">IFERROR(P18/P27,0)</x:f>
        <x:v>0.41653518276807644</x:v>
      </x:c>
      <x:c r="Q30" s="86" t="n">
        <x:f aca="0">IFERROR(Q18/Q27,0)</x:f>
        <x:v>0.4132007508243176</x:v>
      </x:c>
      <x:c r="R30" s="86" t="n">
        <x:f aca="0">IFERROR(R18/R27,0)</x:f>
        <x:v>0.4099854777633918</x:v>
      </x:c>
      <x:c r="S30" s="86" t="n">
        <x:f aca="0">IFERROR(S18/S27,0)</x:f>
        <x:v>0.4068756282105544</x:v>
      </x:c>
      <x:c r="T30" s="86" t="n">
        <x:f aca="0">IFERROR(T18/T27,0)</x:f>
        <x:v>0.4038588730696297</x:v>
      </x:c>
      <x:c r="U30" s="86" t="n">
        <x:f aca="0">IFERROR(U18/U27,0)</x:f>
        <x:v>0.4009241268002907</x:v>
      </x:c>
      <x:c r="V30" s="86" t="n">
        <x:f aca="0">IFERROR(V18/V27,0)</x:f>
        <x:v>0.3980614068758338</x:v>
      </x:c>
      <x:c r="W30" s="86" t="n">
        <x:f aca="0">IFERROR(W18/W27,0)</x:f>
        <x:v>0.39526171195120235</x:v>
      </x:c>
      <x:c r="X30" s="86" t="n">
        <x:f aca="0">IFERROR(X18/X27,0)</x:f>
        <x:v>0.3925169158821128</x:v>
      </x:c>
      <x:c r="Y30" s="86" t="n">
        <x:f aca="0">IFERROR(Y18/Y27,0)</x:f>
        <x:v>0.38981967522851185</x:v>
      </x:c>
      <x:c r="Z30" s="86" t="n">
        <x:f aca="0">IFERROR(Z18/Z27,0)</x:f>
        <x:v>0.3447164595372568</x:v>
      </x:c>
      <x:c r="AA30" s="86" t="n">
        <x:f aca="0">IFERROR(AA18/AA27,0)</x:f>
        <x:v>0.40561497607792957</x:v>
      </x:c>
      <x:c r="AB30" s="52"/>
      <x:c r="AC30" s="52"/>
    </x:row>
    <x:row r="31" ht="13.5" hidden="0" customHeight="1">
      <x:c r="A31" s="75" t="s">
        <x:v>223</x:v>
      </x:c>
      <x:c r="B31" s="86" t="n">
        <x:f aca="0">IFERROR(B15/B27,0)</x:f>
        <x:v>0.561523461134888</x:v>
      </x:c>
      <x:c r="C31" s="86" t="n">
        <x:f aca="0">IFERROR(C15/C27,0)</x:f>
        <x:v>0.5389388968113886</x:v>
      </x:c>
      <x:c r="D31" s="86" t="n">
        <x:f aca="0">IFERROR(D15/D27,0)</x:f>
        <x:v>0.5172710473499507</x:v>
      </x:c>
      <x:c r="E31" s="86" t="n">
        <x:f aca="0">IFERROR(E15/E27,0)</x:f>
        <x:v>0.49640652702769195</x:v>
      </x:c>
      <x:c r="F31" s="86" t="n">
        <x:f aca="0">IFERROR(F15/F27,0)</x:f>
        <x:v>0.4762545318296329</x:v>
      </x:c>
      <x:c r="G31" s="86" t="n">
        <x:f aca="0">IFERROR(G15/G27,0)</x:f>
        <x:v>0.4567429350469003</x:v>
      </x:c>
      <x:c r="H31" s="86" t="n">
        <x:f aca="0">IFERROR(H15/H27,0)</x:f>
        <x:v>0.5030825031279035</x:v>
      </x:c>
      <x:c r="I31" s="86" t="n">
        <x:f aca="0">IFERROR(I15/I27,0)</x:f>
        <x:v>0.4843149948624739</x:v>
      </x:c>
      <x:c r="J31" s="86" t="n">
        <x:f aca="0">IFERROR(J15/J27,0)</x:f>
        <x:v>0.46588764062443966</x:v>
      </x:c>
      <x:c r="K31" s="86" t="n">
        <x:f aca="0">IFERROR(K15/K27,0)</x:f>
        <x:v>0.4477874870356096</x:v>
      </x:c>
      <x:c r="L31" s="86" t="n">
        <x:f aca="0">IFERROR(L15/L27,0)</x:f>
        <x:v>0.43000818399999613</x:v>
      </x:c>
      <x:c r="M31" s="86" t="n">
        <x:f aca="0">IFERROR(M15/M27,0)</x:f>
        <x:v>0.4125488656709617</x:v>
      </x:c>
      <x:c r="N31" s="86" t="n">
        <x:f aca="0">IFERROR(N15/N27,0)</x:f>
        <x:v>0.4066796761093794</x:v>
      </x:c>
      <x:c r="O31" s="86" t="n">
        <x:f aca="0">IFERROR(O15/O27,0)</x:f>
        <x:v>0.4032039402085466</x:v>
      </x:c>
      <x:c r="P31" s="86" t="n">
        <x:f aca="0">IFERROR(P15/P27,0)</x:f>
        <x:v>0.39987377545735336</x:v>
      </x:c>
      <x:c r="Q31" s="86" t="n">
        <x:f aca="0">IFERROR(Q15/Q27,0)</x:f>
        <x:v>0.3966727207913449</x:v>
      </x:c>
      <x:c r="R31" s="86" t="n">
        <x:f aca="0">IFERROR(R15/R27,0)</x:f>
        <x:v>0.3935860586528561</x:v>
      </x:c>
      <x:c r="S31" s="86" t="n">
        <x:f aca="0">IFERROR(S15/S27,0)</x:f>
        <x:v>0.39060060308213224</x:v>
      </x:c>
      <x:c r="T31" s="86" t="n">
        <x:f aca="0">IFERROR(T15/T27,0)</x:f>
        <x:v>0.38770451814684453</x:v>
      </x:c>
      <x:c r="U31" s="86" t="n">
        <x:f aca="0">IFERROR(U15/U27,0)</x:f>
        <x:v>0.384887161728279</x:v>
      </x:c>
      <x:c r="V31" s="86" t="n">
        <x:f aca="0">IFERROR(V15/V27,0)</x:f>
        <x:v>0.3821389506008004</x:v>
      </x:c>
      <x:c r="W31" s="86" t="n">
        <x:f aca="0">IFERROR(W15/W27,0)</x:f>
        <x:v>0.37945124347315423</x:v>
      </x:c>
      <x:c r="X31" s="86" t="n">
        <x:f aca="0">IFERROR(X15/X27,0)</x:f>
        <x:v>0.3768162392468283</x:v>
      </x:c>
      <x:c r="Y31" s="86" t="n">
        <x:f aca="0">IFERROR(Y15/Y27,0)</x:f>
        <x:v>0.3742268882193714</x:v>
      </x:c>
      <x:c r="Z31" s="86" t="n">
        <x:f aca="0">IFERROR(Z15/Z27,0)</x:f>
        <x:v>0.4757087141614144</x:v>
      </x:c>
      <x:c r="AA31" s="86" t="n">
        <x:f aca="0">IFERROR(AA15/AA27,0)</x:f>
        <x:v>0.3893903770348124</x:v>
      </x:c>
      <x:c r="AB31" s="52"/>
      <x:c r="AC31" s="52"/>
    </x:row>
    <x:row r="32" ht="13.5" hidden="0" customHeight="1">
      <x:c r="A32" s="75" t="s">
        <x:v>224</x:v>
      </x:c>
      <x:c r="B32" s="86" t="n">
        <x:f aca="0">IFERROR(B21/B27,0)</x:f>
        <x:v>0.09833455825770392</x:v>
      </x:c>
      <x:c r="C32" s="86" t="n">
        <x:f aca="0">IFERROR(C21/C27,0)</x:f>
        <x:v>0.10770524571301825</x:v>
      </x:c>
      <x:c r="D32" s="86" t="n">
        <x:f aca="0">IFERROR(D21/D27,0)</x:f>
        <x:v>0.11602423463775452</x:v>
      </x:c>
      <x:c r="E32" s="86" t="n">
        <x:f aca="0">IFERROR(E21/E27,0)</x:f>
        <x:v>0.12340737385893362</x:v>
      </x:c>
      <x:c r="F32" s="86" t="n">
        <x:f aca="0">IFERROR(F21/F27,0)</x:f>
        <x:v>0.12995309366721236</x:v>
      </x:c>
      <x:c r="G32" s="86" t="n">
        <x:f aca="0">IFERROR(G21/G27,0)</x:f>
        <x:v>0.13574561090734924</x:v>
      </x:c>
      <x:c r="H32" s="86" t="n">
        <x:f aca="0">IFERROR(H21/H27,0)</x:f>
        <x:v>0.12450449293857302</x:v>
      </x:c>
      <x:c r="I32" s="86" t="n">
        <x:f aca="0">IFERROR(I21/I27,0)</x:f>
        <x:v>0.12910639847044197</x:v>
      </x:c>
      <x:c r="J32" s="86" t="n">
        <x:f aca="0">IFERROR(J21/J27,0)</x:f>
        <x:v>0.13323320915789474</x:v>
      </x:c>
      <x:c r="K32" s="86" t="n">
        <x:f aca="0">IFERROR(K21/K27,0)</x:f>
        <x:v>0.1369206064156089</x:v>
      </x:c>
      <x:c r="L32" s="86" t="n">
        <x:f aca="0">IFERROR(L21/L27,0)</x:f>
        <x:v>0.1402001370756013</x:v>
      </x:c>
      <x:c r="M32" s="86" t="n">
        <x:f aca="0">IFERROR(M21/M27,0)</x:f>
        <x:v>0.14309988391722137</x:v>
      </x:c>
      <x:c r="N32" s="86" t="n">
        <x:f aca="0">IFERROR(N21/N27,0)</x:f>
        <x:v>0.12128413004280282</x:v>
      </x:c>
      <x:c r="O32" s="86" t="n">
        <x:f aca="0">IFERROR(O21/O27,0)</x:f>
        <x:v>0.12667358957951075</x:v>
      </x:c>
      <x:c r="P32" s="86" t="n">
        <x:f aca="0">IFERROR(P21/P27,0)</x:f>
        <x:v>0.13183732718478364</x:v>
      </x:c>
      <x:c r="Q32" s="86" t="n">
        <x:f aca="0">IFERROR(Q21/Q27,0)</x:f>
        <x:v>0.13680086730677884</x:v>
      </x:c>
      <x:c r="R32" s="86" t="n">
        <x:f aca="0">IFERROR(R21/R27,0)</x:f>
        <x:v>0.14158703092032845</x:v>
      </x:c>
      <x:c r="S32" s="86" t="n">
        <x:f aca="0">IFERROR(S21/S27,0)</x:f>
        <x:v>0.1462162641118378</x:v>
      </x:c>
      <x:c r="T32" s="86" t="n">
        <x:f aca="0">IFERROR(T21/T27,0)</x:f>
        <x:v>0.15070691962161428</x:v>
      </x:c>
      <x:c r="U32" s="86" t="n">
        <x:f aca="0">IFERROR(U21/U27,0)</x:f>
        <x:v>0.15507549906825896</x:v>
      </x:c>
      <x:c r="V32" s="86" t="n">
        <x:f aca="0">IFERROR(V21/V27,0)</x:f>
        <x:v>0.1593368621558076</x:v>
      </x:c>
      <x:c r="W32" s="86" t="n">
        <x:f aca="0">IFERROR(W21/W27,0)</x:f>
        <x:v>0.16350440802933042</x:v>
      </x:c>
      <x:c r="X32" s="86" t="n">
        <x:f aca="0">IFERROR(X21/X27,0)</x:f>
        <x:v>0.1675902330350323</x:v>
      </x:c>
      <x:c r="Y32" s="86" t="n">
        <x:f aca="0">IFERROR(Y21/Y27,0)</x:f>
        <x:v>0.17160526840796395</x:v>
      </x:c>
      <x:c r="Z32" s="86" t="n">
        <x:f aca="0">IFERROR(Z21/Z27,0)</x:f>
        <x:v>0.1285884875061441</x:v>
      </x:c>
      <x:c r="AA32" s="86" t="n">
        <x:f aca="0">IFERROR(AA21/AA27,0)</x:f>
        <x:v>0.1480928348578306</x:v>
      </x:c>
      <x:c r="AB32" s="52"/>
      <x:c r="AC32" s="52"/>
    </x:row>
    <x:row r="33" ht="13.5" hidden="0" customHeight="1">
      <x:c r="A33" s="75" t="s">
        <x:v>225</x:v>
      </x:c>
      <x:c r="B33" s="86" t="n">
        <x:f aca="0">IFERROR(B24/B27,0)</x:f>
        <x:v>0.04634607131135783</x:v>
      </x:c>
      <x:c r="C33" s="86" t="n">
        <x:f aca="0">IFERROR(C24/C27,0)</x:f>
        <x:v>0.048479740618247134</x:v>
      </x:c>
      <x:c r="D33" s="86" t="n">
        <x:f aca="0">IFERROR(D24/D27,0)</x:f>
        <x:v>0.050325401811824884</x:v>
      </x:c>
      <x:c r="E33" s="86" t="n">
        <x:f aca="0">IFERROR(E24/E27,0)</x:f>
        <x:v>0.05191440796851085</x:v>
      </x:c>
      <x:c r="F33" s="86" t="n">
        <x:f aca="0">IFERROR(F24/F27,0)</x:f>
        <x:v>0.053273564055052694</x:v>
      </x:c>
      <x:c r="G33" s="86" t="n">
        <x:f aca="0">IFERROR(G24/G27,0)</x:f>
        <x:v>0.05442597132361178</x:v>
      </x:c>
      <x:c r="H33" s="86" t="n">
        <x:f aca="0">IFERROR(H24/H27,0)</x:f>
        <x:v>0.04896094410760045</x:v>
      </x:c>
      <x:c r="I33" s="86" t="n">
        <x:f aca="0">IFERROR(I24/I27,0)</x:f>
        <x:v>0.0499084194225743</x:v>
      </x:c>
      <x:c r="J33" s="86" t="n">
        <x:f aca="0">IFERROR(J24/J27,0)</x:f>
        <x:v>0.0507212159925478</x:v>
      </x:c>
      <x:c r="K33" s="86" t="n">
        <x:f aca="0">IFERROR(K24/K27,0)</x:f>
        <x:v>0.05140973931781213</x:v>
      </x:c>
      <x:c r="L33" s="86" t="n">
        <x:f aca="0">IFERROR(L24/L27,0)</x:f>
        <x:v>0.05198330690729568</x:v>
      </x:c>
      <x:c r="M33" s="86" t="n">
        <x:f aca="0">IFERROR(M24/M27,0)</x:f>
        <x:v>0.052450323613727055</x:v>
      </x:c>
      <x:c r="N33" s="86" t="n">
        <x:f aca="0">IFERROR(N24/N27,0)</x:f>
        <x:v>0.04841153123388088</x:v>
      </x:c>
      <x:c r="O33" s="86" t="n">
        <x:f aca="0">IFERROR(O24/O27,0)</x:f>
        <x:v>0.05011836582803983</x:v>
      </x:c>
      <x:c r="P33" s="86" t="n">
        <x:f aca="0">IFERROR(P24/P27,0)</x:f>
        <x:v>0.05175371458978652</x:v>
      </x:c>
      <x:c r="Q33" s="86" t="n">
        <x:f aca="0">IFERROR(Q24/Q27,0)</x:f>
        <x:v>0.05332566107755852</x:v>
      </x:c>
      <x:c r="R33" s="86" t="n">
        <x:f aca="0">IFERROR(R24/R27,0)</x:f>
        <x:v>0.054841432663423555</x:v>
      </x:c>
      <x:c r="S33" s="86" t="n">
        <x:f aca="0">IFERROR(S24/S27,0)</x:f>
        <x:v>0.05630750459547546</x:v>
      </x:c>
      <x:c r="T33" s="86" t="n">
        <x:f aca="0">IFERROR(T24/T27,0)</x:f>
        <x:v>0.05772968916191138</x:v>
      </x:c>
      <x:c r="U33" s="86" t="n">
        <x:f aca="0">IFERROR(U24/U27,0)</x:f>
        <x:v>0.05911321240317121</x:v>
      </x:c>
      <x:c r="V33" s="86" t="n">
        <x:f aca="0">IFERROR(V24/V27,0)</x:f>
        <x:v>0.060462780367558026</x:v>
      </x:c>
      <x:c r="W33" s="86" t="n">
        <x:f aca="0">IFERROR(W24/W27,0)</x:f>
        <x:v>0.06178263654631285</x:v>
      </x:c>
      <x:c r="X33" s="86" t="n">
        <x:f aca="0">IFERROR(X24/X27,0)</x:f>
        <x:v>0.06307661183602649</x:v>
      </x:c>
      <x:c r="Y33" s="86" t="n">
        <x:f aca="0">IFERROR(Y24/Y27,0)</x:f>
        <x:v>0.06434816814415265</x:v>
      </x:c>
      <x:c r="Z33" s="86" t="n">
        <x:f aca="0">IFERROR(Z24/Z27,0)</x:f>
        <x:v>0.05098633879518448</x:v>
      </x:c>
      <x:c r="AA33" s="86" t="n">
        <x:f aca="0">IFERROR(AA24/AA27,0)</x:f>
        <x:v>0.0569018120294271</x:v>
      </x:c>
      <x:c r="AB33" s="52"/>
      <x:c r="AC33" s="52"/>
    </x:row>
    <x:row r="34" ht="13.5" hidden="0" customHeight="1">
      <x:c r="A34" s="75" t="s">
        <x:v>226</x:v>
      </x:c>
      <x:c r="B34" s="86" t="n">
        <x:f aca="0">IFERROR(B28/B7,0)</x:f>
        <x:v>891.2150202069028</x:v>
      </x:c>
      <x:c r="C34" s="86" t="n">
        <x:f aca="0">IFERROR(C28/C7,0)</x:f>
        <x:v>269.8633692477304</x:v>
      </x:c>
      <x:c r="D34" s="86" t="n">
        <x:f aca="0">IFERROR(D28/D7,0)</x:f>
        <x:v>265.252466653284</x:v>
      </x:c>
      <x:c r="E34" s="86" t="n">
        <x:f aca="0">IFERROR(E28/E7,0)</x:f>
        <x:v>260.755965895594</x:v>
      </x:c>
      <x:c r="F34" s="86" t="n">
        <x:f aca="0">IFERROR(F28/F7,0)</x:f>
        <x:v>256.40515372345067</x:v>
      </x:c>
      <x:c r="G34" s="86" t="n">
        <x:f aca="0">IFERROR(G28/G7,0)</x:f>
        <x:v>252.22502157509882</x:v>
      </x:c>
      <x:c r="H34" s="86" t="n">
        <x:f aca="0">IFERROR(H28/H7,0)</x:f>
        <x:v>280.83955754148604</x:v>
      </x:c>
      <x:c r="I34" s="86" t="n">
        <x:f aca="0">IFERROR(I28/I7,0)</x:f>
        <x:v>275.2096845672022</x:v>
      </x:c>
      <x:c r="J34" s="86" t="n">
        <x:f aca="0">IFERROR(J28/J7,0)</x:f>
        <x:v>269.9010495494807</x:v>
      </x:c>
      <x:c r="K34" s="86" t="n">
        <x:f aca="0">IFERROR(K28/K7,0)</x:f>
        <x:v>264.9158505570805</x:v>
      </x:c>
      <x:c r="L34" s="86" t="n">
        <x:f aca="0">IFERROR(L28/L7,0)</x:f>
        <x:v>260.25393875280474</x:v>
      </x:c>
      <x:c r="M34" s="86" t="n">
        <x:f aca="0">IFERROR(M28/M7,0)</x:f>
        <x:v>255.91324845509524</x:v>
      </x:c>
      <x:c r="N34" s="86" t="n">
        <x:f aca="0">IFERROR(N28/N7,0)</x:f>
        <x:v>311.722724148616</x:v>
      </x:c>
      <x:c r="O34" s="86" t="n">
        <x:f aca="0">IFERROR(O28/O7,0)</x:f>
        <x:v>306.74133191118506</x:v>
      </x:c>
      <x:c r="P34" s="86" t="n">
        <x:f aca="0">IFERROR(P28/P7,0)</x:f>
        <x:v>301.7520838613535</x:v>
      </x:c>
      <x:c r="Q34" s="86" t="n">
        <x:f aca="0">IFERROR(Q28/Q7,0)</x:f>
        <x:v>296.7679527087251</x:v>
      </x:c>
      <x:c r="R34" s="86" t="n">
        <x:f aca="0">IFERROR(R28/R7,0)</x:f>
        <x:v>291.80031984047605</x:v>
      </x:c>
      <x:c r="S34" s="86" t="n">
        <x:f aca="0">IFERROR(S28/S7,0)</x:f>
        <x:v>286.8591422203291</x:v>
      </x:c>
      <x:c r="T34" s="86" t="n">
        <x:f aca="0">IFERROR(T28/T7,0)</x:f>
        <x:v>281.95310227980235</x:v>
      </x:c>
      <x:c r="U34" s="86" t="n">
        <x:f aca="0">IFERROR(U28/U7,0)</x:f>
        <x:v>277.0897425283464</x:v>
      </x:c>
      <x:c r="V34" s="86" t="n">
        <x:f aca="0">IFERROR(V28/V7,0)</x:f>
        <x:v>272.275586433479</x:v>
      </x:c>
      <x:c r="W34" s="86" t="n">
        <x:f aca="0">IFERROR(W28/W7,0)</x:f>
        <x:v>267.5162469643907</x:v>
      </x:c>
      <x:c r="X34" s="86" t="n">
        <x:f aca="0">IFERROR(X28/X7,0)</x:f>
        <x:v>262.8165240509159</x:v>
      </x:c>
      <x:c r="Y34" s="86" t="n">
        <x:f aca="0">IFERROR(Y28/Y7,0)</x:f>
        <x:v>258.1804920825918</x:v>
      </x:c>
      <x:c r="Z34" s="86" t="n">
        <x:f aca="0">IFERROR(Z28/Z7,0)</x:f>
        <x:v>301.65652241011753</x:v>
      </x:c>
      <x:c r="AA34" s="86" t="n">
        <x:f aca="0">IFERROR(AA28/AA7,0)</x:f>
        <x:v>283.1899587447846</x:v>
      </x:c>
      <x:c r="AB34" s="52"/>
      <x:c r="AC34" s="52"/>
    </x:row>
    <x:row r="35" ht="13.5" hidden="0" customHeight="1">
      <x:c r="A35" s="75" t="s">
        <x:v>227</x:v>
      </x:c>
      <x:c r="B35" s="86" t="n">
        <x:f aca="0">IFERROR(B27/B10,0)</x:f>
        <x:v>354.4581132233715</x:v>
      </x:c>
      <x:c r="C35" s="86" t="n">
        <x:f aca="0">IFERROR(C27/C10,0)</x:f>
        <x:v>186.11984325259996</x:v>
      </x:c>
      <x:c r="D35" s="86" t="n">
        <x:f aca="0">IFERROR(D27/D10,0)</x:f>
        <x:v>130.0945766865605</x:v>
      </x:c>
      <x:c r="E35" s="86" t="n">
        <x:f aca="0">IFERROR(E27/E10,0)</x:f>
        <x:v>102.1525695598673</x:v>
      </x:c>
      <x:c r="F35" s="86" t="n">
        <x:f aca="0">IFERROR(F27/F10,0)</x:f>
        <x:v>85.44830142214414</x:v>
      </x:c>
      <x:c r="G35" s="86" t="n">
        <x:f aca="0">IFERROR(G27/G10,0)</x:f>
        <x:v>74.36694692056314</x:v>
      </x:c>
      <x:c r="H35" s="86" t="n">
        <x:f aca="0">IFERROR(H27/H10,0)</x:f>
        <x:v>75.23717185778817</x:v>
      </x:c>
      <x:c r="I35" s="86" t="n">
        <x:f aca="0">IFERROR(I27/I10,0)</x:f>
        <x:v>68.28371698265049</x:v>
      </x:c>
      <x:c r="J35" s="86" t="n">
        <x:f aca="0">IFERROR(J27/J10,0)</x:f>
        <x:v>62.91132768252177</x:v>
      </x:c>
      <x:c r="K35" s="86" t="n">
        <x:f aca="0">IFERROR(K27/K10,0)</x:f>
        <x:v>58.649086707738775</x:v>
      </x:c>
      <x:c r="L35" s="86" t="n">
        <x:f aca="0">IFERROR(L27/L10,0)</x:f>
        <x:v>55.197502754366546</x:v>
      </x:c>
      <x:c r="M35" s="86" t="n">
        <x:f aca="0">IFERROR(M27/M10,0)</x:f>
        <x:v>52.357067138353514</x:v>
      </x:c>
      <x:c r="N35" s="86" t="n">
        <x:f aca="0">IFERROR(N27/N10,0)</x:f>
        <x:v>60.12657094791711</x:v>
      </x:c>
      <x:c r="O35" s="86" t="n">
        <x:f aca="0">IFERROR(O27/O10,0)</x:f>
        <x:v>56.25991709982145</x:v>
      </x:c>
      <x:c r="P35" s="86" t="n">
        <x:f aca="0">IFERROR(P27/P10,0)</x:f>
        <x:v>52.99464204041809</x:v>
      </x:c>
      <x:c r="Q35" s="86" t="n">
        <x:f aca="0">IFERROR(Q27/Q10,0)</x:f>
        <x:v>50.19435266775412</x:v>
      </x:c>
      <x:c r="R35" s="86" t="n">
        <x:f aca="0">IFERROR(R27/R10,0)</x:f>
        <x:v>47.76081175100267</x:v>
      </x:c>
      <x:c r="S35" s="86" t="n">
        <x:f aca="0">IFERROR(S27/S10,0)</x:f>
        <x:v>45.62149625300153</x:v>
      </x:c>
      <x:c r="T35" s="86" t="n">
        <x:f aca="0">IFERROR(T27/T10,0)</x:f>
        <x:v>43.72172585302048</x:v>
      </x:c>
      <x:c r="U35" s="86" t="n">
        <x:f aca="0">IFERROR(U27/U10,0)</x:f>
        <x:v>42.019515866980356</x:v>
      </x:c>
      <x:c r="V35" s="86" t="n">
        <x:f aca="0">IFERROR(V27/V10,0)</x:f>
        <x:v>40.482114279323504</x:v>
      </x:c>
      <x:c r="W35" s="86" t="n">
        <x:f aca="0">IFERROR(W27/W10,0)</x:f>
        <x:v>39.0836131040656</x:v>
      </x:c>
      <x:c r="X35" s="86" t="n">
        <x:f aca="0">IFERROR(X27/X10,0)</x:f>
        <x:v>37.80326422950596</x:v>
      </x:c>
      <x:c r="Y35" s="86" t="n">
        <x:f aca="0">IFERROR(Y27/Y10,0)</x:f>
        <x:v>36.62426860625305</x:v>
      </x:c>
      <x:c r="Z35" s="86" t="n">
        <x:f aca="0">AVERAGE(B35:M35)</x:f>
        <x:v>108.77301868237716</x:v>
      </x:c>
      <x:c r="AA35" s="86" t="n">
        <x:f aca="0">AVERAGE(N35:Y35)</x:f>
        <x:v>46.05769105825533</x:v>
      </x:c>
      <x:c r="AB35" s="52"/>
      <x:c r="AC35" s="52"/>
    </x:row>
    <x:row r="36" ht="13.5" hidden="0" customHeight="1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52"/>
      <x:c r="AC36" s="52"/>
    </x:row>
    <x:row r="37" ht="13.5" hidden="0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  <x:c r="AA37" s="78"/>
      <x:c r="AB37" s="78"/>
      <x:c r="AC37" s="78"/>
    </x:row>
    <x:row r="38" ht="13.5" hidden="0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  <x:c r="AA38" s="78"/>
      <x:c r="AB38" s="78"/>
      <x:c r="AC38" s="78"/>
    </x:row>
    <x:row r="39" ht="13.5" hidden="0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52"/>
      <x:c r="AC39" s="52"/>
    </x:row>
    <x:row r="40" ht="13.5" hidden="0" customHeight="1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52"/>
      <x:c r="AC40" s="52"/>
    </x:row>
    <x:row r="41" ht="13.5" hidden="0" customHeight="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52"/>
      <x:c r="AC41" s="52"/>
    </x:row>
    <x:row r="42" ht="13.5" hidden="0" customHeight="1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52"/>
      <x:c r="AC42" s="52"/>
    </x:row>
    <x:row r="43" ht="13.5" hidden="0" customHeight="1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52"/>
      <x:c r="AC43" s="52"/>
    </x:row>
    <x:row r="44" ht="13.5" hidden="0" customHeight="1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52"/>
      <x:c r="AC44" s="52"/>
    </x:row>
    <x:row r="45" ht="13.5" hidden="0" customHeight="1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52"/>
      <x:c r="AC45" s="52"/>
    </x:row>
  </x:sheetData>
  <x:pageMargins left="0.7" right="0.7" top="0.75" bottom="0.75" header="0.3" footer="0.3"/>
  <x:drawing xmlns:r="http://schemas.openxmlformats.org/officeDocument/2006/relationships" r:id="Rf46bb19078904a16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3203125" defaultRowHeight="15"/>
  <x:cols>
    <x:col min="1" max="1" width="49.33000183105469" hidden="0" customWidth="1"/>
    <x:col min="2" max="6" width="11.5" hidden="0" customWidth="1"/>
    <x:col min="7" max="10" width="10.329999923706055" hidden="0" customWidth="1"/>
    <x:col min="11" max="26" width="11.15999984741211" hidden="0" customWidth="1"/>
    <x:col min="27" max="27" width="12.329999923706055" hidden="0" customWidth="1"/>
    <x:col min="28" max="28" width="40.83000183105469" hidden="0" customWidth="1"/>
    <x:col min="29" max="29" width="18.15999984741211" hidden="0" customWidth="1"/>
  </x:cols>
  <x:sheetData>
    <x:row r="1" ht="18.549999237060547" hidden="0">
      <x:c r="A1" s="49" t="s">
        <x:v>228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2"/>
      <x:c r="AC1" s="2"/>
    </x:row>
    <x:row r="2" ht="15" hidden="0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  <x:c r="Z2" s="50"/>
      <x:c r="AA2" s="50"/>
      <x:c r="AB2" s="51"/>
      <x:c r="AC2" s="51"/>
    </x:row>
    <x:row r="3" ht="15" hidden="0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  <x:c r="AA3" s="52"/>
      <x:c r="AB3" s="52"/>
      <x:c r="AC3" s="52"/>
    </x:row>
    <x:row r="4" ht="15" hidden="0">
      <x:c r="A4" s="67" t="s">
        <x:v>84</x:v>
      </x:c>
      <x:c r="B4" s="54" t="s">
        <x:v>120</x:v>
      </x:c>
      <x:c r="C4" s="54" t="s">
        <x:v>121</x:v>
      </x:c>
      <x:c r="D4" s="54" t="s">
        <x:v>122</x:v>
      </x:c>
      <x:c r="E4" s="54" t="s">
        <x:v>123</x:v>
      </x:c>
      <x:c r="F4" s="54" t="s">
        <x:v>124</x:v>
      </x:c>
      <x:c r="G4" s="54" t="s">
        <x:v>125</x:v>
      </x:c>
      <x:c r="H4" s="54" t="s">
        <x:v>126</x:v>
      </x:c>
      <x:c r="I4" s="54" t="s">
        <x:v>127</x:v>
      </x:c>
      <x:c r="J4" s="54" t="s">
        <x:v>128</x:v>
      </x:c>
      <x:c r="K4" s="54" t="s">
        <x:v>129</x:v>
      </x:c>
      <x:c r="L4" s="54" t="s">
        <x:v>130</x:v>
      </x:c>
      <x:c r="M4" s="54" t="s">
        <x:v>131</x:v>
      </x:c>
      <x:c r="N4" s="54" t="s">
        <x:v>132</x:v>
      </x:c>
      <x:c r="O4" s="54" t="s">
        <x:v>133</x:v>
      </x:c>
      <x:c r="P4" s="54" t="s">
        <x:v>134</x:v>
      </x:c>
      <x:c r="Q4" s="54" t="s">
        <x:v>135</x:v>
      </x:c>
      <x:c r="R4" s="54" t="s">
        <x:v>136</x:v>
      </x:c>
      <x:c r="S4" s="54" t="s">
        <x:v>137</x:v>
      </x:c>
      <x:c r="T4" s="54" t="s">
        <x:v>138</x:v>
      </x:c>
      <x:c r="U4" s="54" t="s">
        <x:v>139</x:v>
      </x:c>
      <x:c r="V4" s="54" t="s">
        <x:v>140</x:v>
      </x:c>
      <x:c r="W4" s="54" t="s">
        <x:v>141</x:v>
      </x:c>
      <x:c r="X4" s="54" t="s">
        <x:v>142</x:v>
      </x:c>
      <x:c r="Y4" s="54" t="s">
        <x:v>143</x:v>
      </x:c>
      <x:c r="Z4" s="54" t="s">
        <x:v>144</x:v>
      </x:c>
      <x:c r="AA4" s="54" t="s">
        <x:v>145</x:v>
      </x:c>
      <x:c r="AB4" s="55"/>
      <x:c r="AC4" s="55"/>
    </x:row>
    <x:row r="5" ht="15" hidden="0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  <x:c r="AA5" s="52"/>
      <x:c r="AB5" s="52"/>
      <x:c r="AC5" s="52"/>
    </x:row>
    <x:row r="6" ht="15" hidden="0">
      <x:c r="A6" s="58" t="s">
        <x:v>229</x:v>
      </x:c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8"/>
      <x:c r="AA6" s="58"/>
      <x:c r="AB6" s="59"/>
      <x:c r="AC6" s="59"/>
    </x:row>
    <x:row r="7" ht="23.850000381469727" hidden="0">
      <x:c r="A7" s="52" t="s">
        <x:v>191</x:v>
      </x:c>
      <x:c r="B7" s="69" t="n">
        <x:f aca="0">'Banking Revenue'!B13</x:f>
        <x:v>0</x:v>
      </x:c>
      <x:c r="C7" s="69" t="n">
        <x:f aca="0">'Banking Revenue'!C13</x:f>
        <x:v>0</x:v>
      </x:c>
      <x:c r="D7" s="69" t="n">
        <x:f aca="0">'Banking Revenue'!D13</x:f>
        <x:v>0</x:v>
      </x:c>
      <x:c r="E7" s="69" t="n">
        <x:f aca="0">'Banking Revenue'!E13</x:f>
        <x:v>128700</x:v>
      </x:c>
      <x:c r="F7" s="69" t="n">
        <x:f aca="0">'Banking Revenue'!F13</x:f>
        <x:v>385456.49999999994</x:v>
      </x:c>
      <x:c r="G7" s="69" t="n">
        <x:f aca="0">'Banking Revenue'!G13</x:f>
        <x:v>770034.6225</x:v>
      </x:c>
      <x:c r="H7" s="69" t="n">
        <x:f aca="0">'Banking Revenue'!H13</x:f>
        <x:v>1282609.8338625</x:v>
      </x:c>
      <x:c r="I7" s="69" t="n">
        <x:f aca="0">'Banking Revenue'!I13</x:f>
        <x:v>1923770.9152715625</x:v>
      </x:c>
      <x:c r="J7" s="69" t="n">
        <x:f aca="0">'Banking Revenue'!J13</x:f>
        <x:v>2694524.200850759</x:v>
      </x:c>
      <x:c r="K7" s="69" t="n">
        <x:f aca="0">'Banking Revenue'!K13</x:f>
        <x:v>3596299.104428201</x:v>
      </x:c>
      <x:c r="L7" s="69" t="n">
        <x:f aca="0">'Banking Revenue'!L13</x:f>
        <x:v>4630954.96045466</x:v>
      </x:c>
      <x:c r="M7" s="69" t="n">
        <x:f aca="0">'Banking Revenue'!M13</x:f>
        <x:v>5800789.208703198</x:v>
      </x:c>
      <x:c r="N7" s="69" t="n">
        <x:f aca="0">'Banking Revenue'!N13</x:f>
        <x:v>7108546.956618884</x:v>
      </x:c>
      <x:c r="O7" s="69" t="n">
        <x:f aca="0">'Banking Revenue'!O13</x:f>
        <x:v>8557431.95755859</x:v>
      </x:c>
      <x:c r="P7" s="69" t="n">
        <x:f aca="0">'Banking Revenue'!P13</x:f>
        <x:v>10151119.04767752</x:v>
      </x:c>
      <x:c r="Q7" s="69" t="n">
        <x:f aca="0">'Banking Revenue'!Q13</x:f>
        <x:v>11885217.203039765</x:v>
      </x:c>
      <x:c r="R7" s="69" t="n">
        <x:f aca="0">'Banking Revenue'!R13</x:f>
        <x:v>13755664.909088647</x:v>
      </x:c>
      <x:c r="S7" s="69" t="n">
        <x:f aca="0">'Banking Revenue'!S13</x:f>
        <x:v>15758715.853164788</x:v>
      </x:c>
      <x:c r="T7" s="69" t="n">
        <x:f aca="0">'Banking Revenue'!T13</x:f>
        <x:v>17890925.39531245</x:v>
      </x:c>
      <x:c r="U7" s="69" t="n">
        <x:f aca="0">'Banking Revenue'!U13</x:f>
        <x:v>20149137.779901884</x:v>
      </x:c>
      <x:c r="V7" s="69" t="n">
        <x:f aca="0">'Banking Revenue'!V13</x:f>
        <x:v>22530474.052507043</x:v>
      </x:c>
      <x:c r="W7" s="69" t="n">
        <x:f aca="0">'Banking Revenue'!W13</x:f>
        <x:v>25032320.648294978</x:v>
      </x:c>
      <x:c r="X7" s="69" t="n">
        <x:f aca="0">'Banking Revenue'!X13</x:f>
        <x:v>27652318.619910277</x:v>
      </x:c>
      <x:c r="Y7" s="69" t="n">
        <x:f aca="0">'Banking Revenue'!Y13</x:f>
        <x:v>30388353.474479645</x:v>
      </x:c>
      <x:c r="Z7" s="69" t="n">
        <x:f aca="0">SUM(B7:M7)</x:f>
        <x:v>21213139.34607088</x:v>
      </x:c>
      <x:c r="AA7" s="69" t="n">
        <x:f aca="0">SUM(N7:Y7)</x:f>
        <x:v>210860225.8975545</x:v>
      </x:c>
      <x:c r="AB7" s="52"/>
      <x:c r="AC7" s="52"/>
    </x:row>
    <x:row r="8" ht="23.850000381469727" hidden="0">
      <x:c r="A8" s="52" t="s">
        <x:v>192</x:v>
      </x:c>
      <x:c r="B8" s="69" t="n">
        <x:f aca="0">'Banking Revenue'!B14</x:f>
        <x:v>322071.75</x:v>
      </x:c>
      <x:c r="C8" s="69" t="n">
        <x:f aca="0">'Banking Revenue'!C14</x:f>
        <x:v>657026.37</x:v>
      </x:c>
      <x:c r="D8" s="69" t="n">
        <x:f aca="0">'Banking Revenue'!D14</x:f>
        <x:v>1005765.6609000001</x:v>
      </x:c>
      <x:c r="E8" s="69" t="n">
        <x:f aca="0">'Banking Revenue'!E14</x:f>
        <x:v>1466572.3300800002</x:v>
      </x:c>
      <x:c r="F8" s="69" t="n">
        <x:f aca="0">'Banking Revenue'!F14</x:f>
        <x:v>2039481.0910702802</x:v>
      </x:c>
      <x:c r="G8" s="69" t="n">
        <x:f aca="0">'Banking Revenue'!G14</x:f>
        <x:v>2724905.850233767</x:v>
      </x:c>
      <x:c r="H8" s="69" t="n">
        <x:f aca="0">'Banking Revenue'!H14</x:f>
        <x:v>3523642.7499637036</x:v>
      </x:c>
      <x:c r="I8" s="69" t="n">
        <x:f aca="0">'Banking Revenue'!I14</x:f>
        <x:v>4436874.396949211</x:v>
      </x:c>
      <x:c r="J8" s="69" t="n">
        <x:f aca="0">'Banking Revenue'!J14</x:f>
        <x:v>5466175.296147885</x:v>
      </x:c>
      <x:c r="K8" s="69" t="n">
        <x:f aca="0">'Banking Revenue'!K14</x:f>
        <x:v>6613518.514872945</x:v>
      </x:c>
      <x:c r="L8" s="69" t="n">
        <x:f aca="0">'Banking Revenue'!L14</x:f>
        <x:v>7881283.605270378</x:v>
      </x:c>
      <x:c r="M8" s="69" t="n">
        <x:f aca="0">'Banking Revenue'!M14</x:f>
        <x:v>9272265.81744115</x:v>
      </x:c>
      <x:c r="N8" s="69" t="n">
        <x:f aca="0">'Banking Revenue'!N14</x:f>
        <x:v>10768288.047713002</x:v>
      </x:c>
      <x:c r="O8" s="69" t="n">
        <x:f aca="0">'Banking Revenue'!O14</x:f>
        <x:v>12371619.021611076</x:v>
      </x:c>
      <x:c r="P8" s="69" t="n">
        <x:f aca="0">'Banking Revenue'!P14</x:f>
        <x:v>14084884.242036201</x:v>
      </x:c>
      <x:c r="Q8" s="69" t="n">
        <x:f aca="0">'Banking Revenue'!Q14</x:f>
        <x:v>15904608.373326272</x:v>
      </x:c>
      <x:c r="R8" s="69" t="n">
        <x:f aca="0">'Banking Revenue'!R14</x:f>
        <x:v>17827595.00388323</x:v>
      </x:c>
      <x:c r="S8" s="69" t="n">
        <x:f aca="0">'Banking Revenue'!S14</x:f>
        <x:v>19850914.23644458</x:v>
      </x:c>
      <x:c r="T8" s="69" t="n">
        <x:f aca="0">'Banking Revenue'!T14</x:f>
        <x:v>21971890.959102385</x:v>
      </x:c>
      <x:c r="U8" s="69" t="n">
        <x:f aca="0">'Banking Revenue'!U14</x:f>
        <x:v>24188093.764101807</x:v>
      </x:c>
      <x:c r="V8" s="69" t="n">
        <x:f aca="0">'Banking Revenue'!V14</x:f>
        <x:v>26497324.48313539</x:v>
      </x:c>
      <x:c r="W8" s="69" t="n">
        <x:f aca="0">'Banking Revenue'!W14</x:f>
        <x:v>28897608.309449323</x:v>
      </x:c>
      <x:c r="X8" s="69" t="n">
        <x:f aca="0">'Banking Revenue'!X14</x:f>
        <x:v>31387184.478599355</x:v>
      </x:c>
      <x:c r="Y8" s="69" t="n">
        <x:f aca="0">'Banking Revenue'!Y14</x:f>
        <x:v>33964497.48113969</x:v>
      </x:c>
      <x:c r="Z8" s="69" t="n">
        <x:f aca="0">SUM(B8:M8)</x:f>
        <x:v>45409583.43292932</x:v>
      </x:c>
      <x:c r="AA8" s="69" t="n">
        <x:f aca="0">SUM(N8:Y8)</x:f>
        <x:v>257714508.4005423</x:v>
      </x:c>
      <x:c r="AB8" s="52"/>
      <x:c r="AC8" s="52"/>
    </x:row>
    <x:row r="9" ht="23.850000381469727" hidden="0">
      <x:c r="A9" s="71" t="s">
        <x:v>193</x:v>
      </x:c>
      <x:c r="B9" s="87" t="n">
        <x:f aca="0">'Banking Revenue'!B15</x:f>
        <x:v>322071.75</x:v>
      </x:c>
      <x:c r="C9" s="87" t="n">
        <x:f aca="0">'Banking Revenue'!C15</x:f>
        <x:v>657026.37</x:v>
      </x:c>
      <x:c r="D9" s="87" t="n">
        <x:f aca="0">'Banking Revenue'!D15</x:f>
        <x:v>1005765.6609000001</x:v>
      </x:c>
      <x:c r="E9" s="87" t="n">
        <x:f aca="0">'Banking Revenue'!E15</x:f>
        <x:v>1595272.3300800002</x:v>
      </x:c>
      <x:c r="F9" s="87" t="n">
        <x:f aca="0">'Banking Revenue'!F15</x:f>
        <x:v>2424937.59107028</x:v>
      </x:c>
      <x:c r="G9" s="87" t="n">
        <x:f aca="0">'Banking Revenue'!G15</x:f>
        <x:v>3494940.4727337672</x:v>
      </x:c>
      <x:c r="H9" s="87" t="n">
        <x:f aca="0">'Banking Revenue'!H15</x:f>
        <x:v>4806252.583826204</x:v>
      </x:c>
      <x:c r="I9" s="87" t="n">
        <x:f aca="0">'Banking Revenue'!I15</x:f>
        <x:v>6360645.312220774</x:v>
      </x:c>
      <x:c r="J9" s="87" t="n">
        <x:f aca="0">'Banking Revenue'!J15</x:f>
        <x:v>8160699.4969986435</x:v>
      </x:c>
      <x:c r="K9" s="87" t="n">
        <x:f aca="0">'Banking Revenue'!K15</x:f>
        <x:v>10209817.619301146</x:v>
      </x:c>
      <x:c r="L9" s="87" t="n">
        <x:f aca="0">'Banking Revenue'!L15</x:f>
        <x:v>12512238.565725038</x:v>
      </x:c>
      <x:c r="M9" s="87" t="n">
        <x:f aca="0">'Banking Revenue'!M15</x:f>
        <x:v>15073055.026144348</x:v>
      </x:c>
      <x:c r="N9" s="87" t="n">
        <x:f aca="0">'Banking Revenue'!N15</x:f>
        <x:v>17876835.004331887</x:v>
      </x:c>
      <x:c r="O9" s="87" t="n">
        <x:f aca="0">'Banking Revenue'!O15</x:f>
        <x:v>20929050.979169667</x:v>
      </x:c>
      <x:c r="P9" s="87" t="n">
        <x:f aca="0">'Banking Revenue'!P15</x:f>
        <x:v>24236003.28971372</x:v>
      </x:c>
      <x:c r="Q9" s="87" t="n">
        <x:f aca="0">'Banking Revenue'!Q15</x:f>
        <x:v>27789825.576366037</x:v>
      </x:c>
      <x:c r="R9" s="87" t="n">
        <x:f aca="0">'Banking Revenue'!R15</x:f>
        <x:v>31583259.912971877</x:v>
      </x:c>
      <x:c r="S9" s="87" t="n">
        <x:f aca="0">'Banking Revenue'!S15</x:f>
        <x:v>35609630.08960937</x:v>
      </x:c>
      <x:c r="T9" s="87" t="n">
        <x:f aca="0">'Banking Revenue'!T15</x:f>
        <x:v>39862816.354414836</x:v>
      </x:c>
      <x:c r="U9" s="87" t="n">
        <x:f aca="0">'Banking Revenue'!U15</x:f>
        <x:v>44337231.544003695</x:v>
      </x:c>
      <x:c r="V9" s="87" t="n">
        <x:f aca="0">'Banking Revenue'!V15</x:f>
        <x:v>49027798.53564243</x:v>
      </x:c>
      <x:c r="W9" s="87" t="n">
        <x:f aca="0">'Banking Revenue'!W15</x:f>
        <x:v>53929928.9577443</x:v>
      </x:c>
      <x:c r="X9" s="87" t="n">
        <x:f aca="0">'Banking Revenue'!X15</x:f>
        <x:v>59039503.09850963</x:v>
      </x:c>
      <x:c r="Y9" s="87" t="n">
        <x:f aca="0">'Banking Revenue'!Y15</x:f>
        <x:v>64352850.955619335</x:v>
      </x:c>
      <x:c r="Z9" s="72" t="n">
        <x:f aca="0">SUM(B9:M9)</x:f>
        <x:v>66622722.7790002</x:v>
      </x:c>
      <x:c r="AA9" s="72" t="n">
        <x:f aca="0">SUM(N9:Y9)</x:f>
        <x:v>468574734.2980967</x:v>
      </x:c>
      <x:c r="AB9" s="52"/>
      <x:c r="AC9" s="52"/>
    </x:row>
    <x:row r="10" ht="15" hidden="0">
      <x:c r="A10" s="52" t="s">
        <x:v>230</x:v>
      </x:c>
      <x:c r="B10" s="88"/>
      <x:c r="C10" s="88" t="n">
        <x:f aca="0">IFERROR(C9/B9-1,0)</x:f>
        <x:v>1.04</x:v>
      </x:c>
      <x:c r="D10" s="88" t="n">
        <x:f aca="0">IFERROR(D9/C9-1,0)</x:f>
        <x:v>0.5307843137254904</x:v>
      </x:c>
      <x:c r="E10" s="88" t="n">
        <x:f aca="0">IFERROR(E9/D9-1,0)</x:f>
        <x:v>0.5861272581651729</x:v>
      </x:c>
      <x:c r="F10" s="88" t="n">
        <x:f aca="0">IFERROR(F9/E9-1,0)</x:f>
        <x:v>0.5200775098685961</x:v>
      </x:c>
      <x:c r="G10" s="88" t="n">
        <x:f aca="0">IFERROR(G9/F9-1,0)</x:f>
        <x:v>0.441249657559734</x:v>
      </x:c>
      <x:c r="H10" s="88" t="n">
        <x:f aca="0">IFERROR(H9/G9-1,0)</x:f>
        <x:v>0.3752029888127735</x:v>
      </x:c>
      <x:c r="I10" s="88" t="n">
        <x:f aca="0">IFERROR(I9/H9-1,0)</x:f>
        <x:v>0.32341053685471</x:v>
      </x:c>
      <x:c r="J10" s="88" t="n">
        <x:f aca="0">IFERROR(J9/I9-1,0)</x:f>
        <x:v>0.2829986733137606</x:v>
      </x:c>
      <x:c r="K10" s="88" t="n">
        <x:f aca="0">IFERROR(K9/J9-1,0)</x:f>
        <x:v>0.25109589233816676</x:v>
      </x:c>
      <x:c r="L10" s="88" t="n">
        <x:f aca="0">IFERROR(L9/K9-1,0)</x:f>
        <x:v>0.22551048728542233</x:v>
      </x:c>
      <x:c r="M10" s="88" t="n">
        <x:f aca="0">IFERROR(M9/L9-1,0)</x:f>
        <x:v>0.20466493241538664</x:v>
      </x:c>
      <x:c r="N10" s="88" t="n">
        <x:f aca="0">IFERROR(N9/M9-1,0)</x:f>
        <x:v>0.18601272093310595</x:v>
      </x:c>
      <x:c r="O10" s="88" t="n">
        <x:f aca="0">IFERROR(O9/N9-1,0)</x:f>
        <x:v>0.17073581392333548</x:v>
      </x:c>
      <x:c r="P10" s="88" t="n">
        <x:f aca="0">IFERROR(P9/O9-1,0)</x:f>
        <x:v>0.15800775266090228</x:v>
      </x:c>
      <x:c r="Q10" s="88" t="n">
        <x:f aca="0">IFERROR(Q9/P9-1,0)</x:f>
        <x:v>0.146634007438043</x:v>
      </x:c>
      <x:c r="R10" s="88" t="n">
        <x:f aca="0">IFERROR(R9/Q9-1,0)</x:f>
        <x:v>0.1365044313135948</x:v>
      </x:c>
      <x:c r="S10" s="88" t="n">
        <x:f aca="0">IFERROR(S9/R9-1,0)</x:f>
        <x:v>0.12748431250390913</x:v>
      </x:c>
      <x:c r="T10" s="88" t="n">
        <x:f aca="0">IFERROR(T9/S9-1,0)</x:f>
        <x:v>0.11943921501297794</x:v>
      </x:c>
      <x:c r="U10" s="88" t="n">
        <x:f aca="0">IFERROR(U9/T9-1,0)</x:f>
        <x:v>0.1122453353472932</x:v>
      </x:c>
      <x:c r="V10" s="88" t="n">
        <x:f aca="0">IFERROR(V9/U9-1,0)</x:f>
        <x:v>0.10579296064039223</x:v>
      </x:c>
      <x:c r="W10" s="88" t="n">
        <x:f aca="0">IFERROR(W9/V9-1,0)</x:f>
        <x:v>0.09998675381147493</x:v>
      </x:c>
      <x:c r="X10" s="88" t="n">
        <x:f aca="0">IFERROR(X9/W9-1,0)</x:f>
        <x:v>0.09474468517785062</x:v>
      </x:c>
      <x:c r="Y10" s="88" t="n">
        <x:f aca="0">IFERROR(Y9/X9-1,0)</x:f>
        <x:v>0.08999648672930372</x:v>
      </x:c>
      <x:c r="Z10" s="88" t="n">
        <x:f aca="0">AVERAGE(B10:M10)</x:f>
        <x:v>0.4346474773035649</x:v>
      </x:c>
      <x:c r="AA10" s="88" t="n">
        <x:f aca="0">AVERAGE(N10:Y10)</x:f>
        <x:v>0.12896537295768193</x:v>
      </x:c>
      <x:c r="AB10" s="52"/>
      <x:c r="AC10" s="52"/>
    </x:row>
    <x:row r="11" ht="15" hidden="0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</x:row>
    <x:row r="12" ht="15" hidden="0">
      <x:c r="A12" s="58" t="s">
        <x:v>231</x:v>
      </x:c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  <x:c r="L12" s="58"/>
      <x:c r="M12" s="58"/>
      <x:c r="N12" s="58"/>
      <x:c r="O12" s="58"/>
      <x:c r="P12" s="58"/>
      <x:c r="Q12" s="58"/>
      <x:c r="R12" s="58"/>
      <x:c r="S12" s="58"/>
      <x:c r="T12" s="58"/>
      <x:c r="U12" s="58"/>
      <x:c r="V12" s="58"/>
      <x:c r="W12" s="58"/>
      <x:c r="X12" s="58"/>
      <x:c r="Y12" s="58"/>
      <x:c r="Z12" s="58"/>
      <x:c r="AA12" s="58"/>
      <x:c r="AB12" s="59"/>
      <x:c r="AC12" s="59"/>
    </x:row>
    <x:row r="13" ht="23.850000381469727" hidden="0">
      <x:c r="A13" s="52" t="s">
        <x:v>232</x:v>
      </x:c>
      <x:c r="B13" s="69" t="n">
        <x:f aca="0">SUM(Costs!B14,Costs!B26)</x:f>
        <x:v>8000000</x:v>
      </x:c>
      <x:c r="C13" s="69" t="n">
        <x:f aca="0">SUM(Costs!C14,Costs!C26)</x:f>
        <x:v>0</x:v>
      </x:c>
      <x:c r="D13" s="69" t="n">
        <x:f aca="0">SUM(Costs!D14,Costs!D26)</x:f>
        <x:v>0</x:v>
      </x:c>
      <x:c r="E13" s="69" t="n">
        <x:f aca="0">SUM(Costs!E14,Costs!E26)</x:f>
        <x:v>0</x:v>
      </x:c>
      <x:c r="F13" s="69" t="n">
        <x:f aca="0">SUM(Costs!F14,Costs!F26)</x:f>
        <x:v>0</x:v>
      </x:c>
      <x:c r="G13" s="69" t="n">
        <x:f aca="0">SUM(Costs!G14,Costs!G26)</x:f>
        <x:v>0</x:v>
      </x:c>
      <x:c r="H13" s="69" t="n">
        <x:f aca="0">SUM(Costs!H14,Costs!H26)</x:f>
        <x:v>0</x:v>
      </x:c>
      <x:c r="I13" s="69" t="n">
        <x:f aca="0">SUM(Costs!I14,Costs!I26)</x:f>
        <x:v>0</x:v>
      </x:c>
      <x:c r="J13" s="69" t="n">
        <x:f aca="0">SUM(Costs!J14,Costs!J26)</x:f>
        <x:v>0</x:v>
      </x:c>
      <x:c r="K13" s="69" t="n">
        <x:f aca="0">SUM(Costs!K14,Costs!K26)</x:f>
        <x:v>0</x:v>
      </x:c>
      <x:c r="L13" s="69" t="n">
        <x:f aca="0">SUM(Costs!L14,Costs!L26)</x:f>
        <x:v>0</x:v>
      </x:c>
      <x:c r="M13" s="69" t="n">
        <x:f aca="0">SUM(Costs!M14,Costs!M26)</x:f>
        <x:v>0</x:v>
      </x:c>
      <x:c r="N13" s="69" t="n">
        <x:f aca="0">SUM(Costs!N14,Costs!N26)</x:f>
        <x:v>0</x:v>
      </x:c>
      <x:c r="O13" s="69" t="n">
        <x:f aca="0">SUM(Costs!O14,Costs!O26)</x:f>
        <x:v>0</x:v>
      </x:c>
      <x:c r="P13" s="69" t="n">
        <x:f aca="0">SUM(Costs!P14,Costs!P26)</x:f>
        <x:v>0</x:v>
      </x:c>
      <x:c r="Q13" s="69" t="n">
        <x:f aca="0">SUM(Costs!Q14,Costs!Q26)</x:f>
        <x:v>0</x:v>
      </x:c>
      <x:c r="R13" s="69" t="n">
        <x:f aca="0">SUM(Costs!R14,Costs!R26)</x:f>
        <x:v>0</x:v>
      </x:c>
      <x:c r="S13" s="69" t="n">
        <x:f aca="0">SUM(Costs!S14,Costs!S26)</x:f>
        <x:v>0</x:v>
      </x:c>
      <x:c r="T13" s="69" t="n">
        <x:f aca="0">SUM(Costs!T14,Costs!T26)</x:f>
        <x:v>0</x:v>
      </x:c>
      <x:c r="U13" s="69" t="n">
        <x:f aca="0">SUM(Costs!U14,Costs!U26)</x:f>
        <x:v>0</x:v>
      </x:c>
      <x:c r="V13" s="69" t="n">
        <x:f aca="0">SUM(Costs!V14,Costs!V26)</x:f>
        <x:v>0</x:v>
      </x:c>
      <x:c r="W13" s="69" t="n">
        <x:f aca="0">SUM(Costs!W14,Costs!W26)</x:f>
        <x:v>0</x:v>
      </x:c>
      <x:c r="X13" s="69" t="n">
        <x:f aca="0">SUM(Costs!X14,Costs!X26)</x:f>
        <x:v>0</x:v>
      </x:c>
      <x:c r="Y13" s="69" t="n">
        <x:f aca="0">SUM(Costs!Y14,Costs!Y26)</x:f>
        <x:v>0</x:v>
      </x:c>
      <x:c r="Z13" s="69" t="n">
        <x:f aca="0">SUM(B13:M13)</x:f>
        <x:v>8000000</x:v>
      </x:c>
      <x:c r="AA13" s="69" t="n">
        <x:f aca="0">SUM(N13:Y13)</x:f>
        <x:v>0</x:v>
      </x:c>
      <x:c r="AB13" s="52"/>
      <x:c r="AC13" s="52"/>
    </x:row>
    <x:row r="14" ht="23.850000381469727" hidden="0">
      <x:c r="A14" s="52" t="s">
        <x:v>208</x:v>
      </x:c>
      <x:c r="B14" s="69" t="n">
        <x:f aca="0">Costs!B15</x:f>
        <x:v>2000000</x:v>
      </x:c>
      <x:c r="C14" s="69" t="n">
        <x:f aca="0">Costs!C15</x:f>
        <x:v>2000000</x:v>
      </x:c>
      <x:c r="D14" s="69" t="n">
        <x:f aca="0">Costs!D15</x:f>
        <x:v>2000000</x:v>
      </x:c>
      <x:c r="E14" s="69" t="n">
        <x:f aca="0">Costs!E15</x:f>
        <x:v>2000000</x:v>
      </x:c>
      <x:c r="F14" s="69" t="n">
        <x:f aca="0">Costs!F15</x:f>
        <x:v>2000000</x:v>
      </x:c>
      <x:c r="G14" s="69" t="n">
        <x:f aca="0">Costs!G15</x:f>
        <x:v>2000000</x:v>
      </x:c>
      <x:c r="H14" s="69" t="n">
        <x:f aca="0">Costs!H15</x:f>
        <x:v>2600000</x:v>
      </x:c>
      <x:c r="I14" s="69" t="n">
        <x:f aca="0">Costs!I15</x:f>
        <x:v>2600000</x:v>
      </x:c>
      <x:c r="J14" s="69" t="n">
        <x:f aca="0">Costs!J15</x:f>
        <x:v>2600000</x:v>
      </x:c>
      <x:c r="K14" s="69" t="n">
        <x:f aca="0">Costs!K15</x:f>
        <x:v>2600000</x:v>
      </x:c>
      <x:c r="L14" s="69" t="n">
        <x:f aca="0">Costs!L15</x:f>
        <x:v>2600000</x:v>
      </x:c>
      <x:c r="M14" s="69" t="n">
        <x:f aca="0">Costs!M15</x:f>
        <x:v>2600000</x:v>
      </x:c>
      <x:c r="N14" s="69" t="n">
        <x:f aca="0">Costs!N15</x:f>
        <x:v>3200000</x:v>
      </x:c>
      <x:c r="O14" s="69" t="n">
        <x:f aca="0">Costs!O15</x:f>
        <x:v>3200000</x:v>
      </x:c>
      <x:c r="P14" s="69" t="n">
        <x:f aca="0">Costs!P15</x:f>
        <x:v>3200000</x:v>
      </x:c>
      <x:c r="Q14" s="69" t="n">
        <x:f aca="0">Costs!Q15</x:f>
        <x:v>3200000</x:v>
      </x:c>
      <x:c r="R14" s="69" t="n">
        <x:f aca="0">Costs!R15</x:f>
        <x:v>3200000</x:v>
      </x:c>
      <x:c r="S14" s="69" t="n">
        <x:f aca="0">Costs!S15</x:f>
        <x:v>3200000</x:v>
      </x:c>
      <x:c r="T14" s="69" t="n">
        <x:f aca="0">Costs!T15</x:f>
        <x:v>3200000</x:v>
      </x:c>
      <x:c r="U14" s="69" t="n">
        <x:f aca="0">Costs!U15</x:f>
        <x:v>3200000</x:v>
      </x:c>
      <x:c r="V14" s="69" t="n">
        <x:f aca="0">Costs!V15</x:f>
        <x:v>3200000</x:v>
      </x:c>
      <x:c r="W14" s="69" t="n">
        <x:f aca="0">Costs!W15</x:f>
        <x:v>3200000</x:v>
      </x:c>
      <x:c r="X14" s="69" t="n">
        <x:f aca="0">Costs!X15</x:f>
        <x:v>3200000</x:v>
      </x:c>
      <x:c r="Y14" s="69" t="n">
        <x:f aca="0">Costs!Y15</x:f>
        <x:v>3200000</x:v>
      </x:c>
      <x:c r="Z14" s="69" t="n">
        <x:f aca="0">SUM(B14:M14)</x:f>
        <x:v>27600000</x:v>
      </x:c>
      <x:c r="AA14" s="69" t="n">
        <x:f aca="0">SUM(N14:Y14)</x:f>
        <x:v>38400000</x:v>
      </x:c>
      <x:c r="AB14" s="52"/>
      <x:c r="AC14" s="52"/>
    </x:row>
    <x:row r="15" ht="23.850000381469727" hidden="0">
      <x:c r="A15" s="52" t="s">
        <x:v>211</x:v>
      </x:c>
      <x:c r="B15" s="69" t="n">
        <x:f aca="0">Costs!B18</x:f>
        <x:v>1046424.3424567267</x:v>
      </x:c>
      <x:c r="C15" s="69" t="n">
        <x:f aca="0">Costs!C18</x:f>
        <x:v>1131393.9990642124</x:v>
      </x:c>
      <x:c r="D15" s="69" t="n">
        <x:f aca="0">Costs!D18</x:f>
        <x:v>1223263.1917882268</x:v>
      </x:c>
      <x:c r="E15" s="69" t="n">
        <x:f aca="0">Costs!E18</x:f>
        <x:v>1322592.162961431</x:v>
      </x:c>
      <x:c r="F15" s="69" t="n">
        <x:f aca="0">Costs!F18</x:f>
        <x:v>1429986.646593899</x:v>
      </x:c>
      <x:c r="G15" s="69" t="n">
        <x:f aca="0">Costs!G18</x:f>
        <x:v>1546101.5622973235</x:v>
      </x:c>
      <x:c r="H15" s="69" t="n">
        <x:f aca="0">Costs!H18</x:f>
        <x:v>1671645.0091558662</x:v>
      </x:c>
      <x:c r="I15" s="69" t="n">
        <x:f aca="0">Costs!I18</x:f>
        <x:v>1807382.5838993224</x:v>
      </x:c>
      <x:c r="J15" s="69" t="n">
        <x:f aca="0">Costs!J18</x:f>
        <x:v>1954142.0497119478</x:v>
      </x:c>
      <x:c r="K15" s="69" t="n">
        <x:f aca="0">Costs!K18</x:f>
        <x:v>2112818.384148558</x:v>
      </x:c>
      <x:c r="L15" s="69" t="n">
        <x:f aca="0">Costs!L18</x:f>
        <x:v>2284379.236941421</x:v>
      </x:c>
      <x:c r="M15" s="69" t="n">
        <x:f aca="0">Costs!M18</x:f>
        <x:v>2469870.830981065</x:v>
      </x:c>
      <x:c r="N15" s="69" t="n">
        <x:f aca="0">Costs!N18</x:f>
        <x:v>3333333.3333333335</x:v>
      </x:c>
      <x:c r="O15" s="69" t="n">
        <x:f aca="0">Costs!O18</x:f>
        <x:v>3333333.3333333335</x:v>
      </x:c>
      <x:c r="P15" s="69" t="n">
        <x:f aca="0">Costs!P18</x:f>
        <x:v>3333333.3333333335</x:v>
      </x:c>
      <x:c r="Q15" s="69" t="n">
        <x:f aca="0">Costs!Q18</x:f>
        <x:v>3333333.3333333335</x:v>
      </x:c>
      <x:c r="R15" s="69" t="n">
        <x:f aca="0">Costs!R18</x:f>
        <x:v>3333333.3333333335</x:v>
      </x:c>
      <x:c r="S15" s="69" t="n">
        <x:f aca="0">Costs!S18</x:f>
        <x:v>3333333.3333333335</x:v>
      </x:c>
      <x:c r="T15" s="69" t="n">
        <x:f aca="0">Costs!T18</x:f>
        <x:v>3333333.3333333335</x:v>
      </x:c>
      <x:c r="U15" s="69" t="n">
        <x:f aca="0">Costs!U18</x:f>
        <x:v>3333333.3333333335</x:v>
      </x:c>
      <x:c r="V15" s="69" t="n">
        <x:f aca="0">Costs!V18</x:f>
        <x:v>3333333.3333333335</x:v>
      </x:c>
      <x:c r="W15" s="69" t="n">
        <x:f aca="0">Costs!W18</x:f>
        <x:v>3333333.3333333335</x:v>
      </x:c>
      <x:c r="X15" s="69" t="n">
        <x:f aca="0">Costs!X18</x:f>
        <x:v>3333333.3333333335</x:v>
      </x:c>
      <x:c r="Y15" s="69" t="n">
        <x:f aca="0">Costs!Y18</x:f>
        <x:v>3333333.3333333335</x:v>
      </x:c>
      <x:c r="Z15" s="69" t="n">
        <x:f aca="0">SUM(B15:M15)</x:f>
        <x:v>20000000</x:v>
      </x:c>
      <x:c r="AA15" s="69" t="n">
        <x:f aca="0">SUM(N15:Y15)</x:f>
        <x:v>40000000</x:v>
      </x:c>
      <x:c r="AB15" s="52"/>
      <x:c r="AC15" s="52"/>
    </x:row>
    <x:row r="16" ht="15" hidden="0">
      <x:c r="A16" s="52" t="s">
        <x:v>233</x:v>
      </x:c>
      <x:c r="B16" s="69" t="n">
        <x:f aca="0">Costs!B21</x:f>
        <x:v>350242.0292785672</x:v>
      </x:c>
      <x:c r="C16" s="69" t="n">
        <x:f aca="0">Costs!C21</x:f>
        <x:v>399693.71797156305</x:v>
      </x:c>
      <x:c r="D16" s="69" t="n">
        <x:f aca="0">Costs!D21</x:f>
        <x:v>448601.30963123613</x:v>
      </x:c>
      <x:c r="E16" s="69" t="n">
        <x:f aca="0">Costs!E21</x:f>
        <x:v>497202.8655539792</x:v>
      </x:c>
      <x:c r="F16" s="69" t="n">
        <x:f aca="0">Costs!F21</x:f>
        <x:v>545729.5835819974</x:v>
      </x:c>
      <x:c r="G16" s="69" t="n">
        <x:f aca="0">Costs!G21</x:f>
        <x:v>594407.0525947394</x:v>
      </x:c>
      <x:c r="H16" s="69" t="n">
        <x:f aca="0">Costs!H21</x:f>
        <x:v>643456.4502395138</x:v>
      </x:c>
      <x:c r="I16" s="69" t="n">
        <x:f aca="0">Costs!I21</x:f>
        <x:v>693095.6909943866</x:v>
      </x:c>
      <x:c r="J16" s="69" t="n">
        <x:f aca="0">Costs!J21</x:f>
        <x:v>743540.5312453237</x:v>
      </x:c>
      <x:c r="K16" s="69" t="n">
        <x:f aca="0">Costs!K21</x:f>
        <x:v>795005.6376905265</x:v>
      </x:c>
      <x:c r="L16" s="69" t="n">
        <x:f aca="0">Costs!L21</x:f>
        <x:v>847705.6250551889</x:v>
      </x:c>
      <x:c r="M16" s="69" t="n">
        <x:f aca="0">Costs!M21</x:f>
        <x:v>901856.0688069392</x:v>
      </x:c>
      <x:c r="N16" s="69" t="n">
        <x:f aca="0">Costs!N21</x:f>
        <x:v>954336.3952925552</x:v>
      </x:c>
      <x:c r="O16" s="69" t="n">
        <x:f aca="0">Costs!O21</x:f>
        <x:v>1005336.1245546732</x:v>
      </x:c>
      <x:c r="P16" s="69" t="n">
        <x:f aca="0">Costs!P21</x:f>
        <x:v>1055031.5446637766</x:v>
      </x:c>
      <x:c r="Q16" s="69" t="n">
        <x:f aca="0">Costs!Q21</x:f>
        <x:v>1103586.7919235146</x:v>
      </x:c>
      <x:c r="R16" s="69" t="n">
        <x:f aca="0">Costs!R21</x:f>
        <x:v>1151154.8465304445</x:v>
      </x:c>
      <x:c r="S16" s="69" t="n">
        <x:f aca="0">Costs!S21</x:f>
        <x:v>1197878.4504321325</x:v>
      </x:c>
      <x:c r="T16" s="69" t="n">
        <x:f aca="0">Costs!T21</x:f>
        <x:v>1243890.9535908662</x:v>
      </x:c>
      <x:c r="U16" s="69" t="n">
        <x:f aca="0">Costs!U21</x:f>
        <x:v>1289317.0943663826</x:v>
      </x:c>
      <x:c r="V16" s="69" t="n">
        <x:f aca="0">Costs!V21</x:f>
        <x:v>1334273.7192765935</x:v>
      </x:c>
      <x:c r="W16" s="69" t="n">
        <x:f aca="0">Costs!W21</x:f>
        <x:v>1378870.4469771336</x:v>
      </x:c>
      <x:c r="X16" s="69" t="n">
        <x:f aca="0">Costs!X21</x:f>
        <x:v>1423210.2809157723</x:v>
      </x:c>
      <x:c r="Y16" s="69" t="n">
        <x:f aca="0">Costs!Y21</x:f>
        <x:v>1467390.1747636616</x:v>
      </x:c>
      <x:c r="Z16" s="69" t="n">
        <x:f aca="0">SUM(B16:M16)</x:f>
        <x:v>7460536.562643961</x:v>
      </x:c>
      <x:c r="AA16" s="69" t="n">
        <x:f aca="0">SUM(N16:Y16)</x:f>
        <x:v>14604276.823287506</x:v>
      </x:c>
      <x:c r="AB16" s="52"/>
      <x:c r="AC16" s="52"/>
    </x:row>
    <x:row r="17" ht="15" hidden="0">
      <x:c r="A17" s="52" t="s">
        <x:v>234</x:v>
      </x:c>
      <x:c r="B17" s="69" t="n">
        <x:f aca="0">Costs!B24</x:f>
        <x:v>165072.6087835702</x:v>
      </x:c>
      <x:c r="C17" s="69" t="n">
        <x:f aca="0">Costs!C24</x:f>
        <x:v>179908.11539146892</x:v>
      </x:c>
      <x:c r="D17" s="69" t="n">
        <x:f aca="0">Costs!D24</x:f>
        <x:v>194580.39288937085</x:v>
      </x:c>
      <x:c r="E17" s="69" t="n">
        <x:f aca="0">Costs!E24</x:f>
        <x:v>209160.85966619378</x:v>
      </x:c>
      <x:c r="F17" s="69" t="n">
        <x:f aca="0">Costs!F24</x:f>
        <x:v>223718.87507459923</x:v>
      </x:c>
      <x:c r="G17" s="69" t="n">
        <x:f aca="0">Costs!G24</x:f>
        <x:v>238322.1157784218</x:v>
      </x:c>
      <x:c r="H17" s="69" t="n">
        <x:f aca="0">Costs!H24</x:f>
        <x:v>253036.93507185415</x:v>
      </x:c>
      <x:c r="I17" s="69" t="n">
        <x:f aca="0">Costs!I24</x:f>
        <x:v>267928.70729831595</x:v>
      </x:c>
      <x:c r="J17" s="69" t="n">
        <x:f aca="0">Costs!J24</x:f>
        <x:v>283062.1593735971</x:v>
      </x:c>
      <x:c r="K17" s="69" t="n">
        <x:f aca="0">Costs!K24</x:f>
        <x:v>298501.691307158</x:v>
      </x:c>
      <x:c r="L17" s="69" t="n">
        <x:f aca="0">Costs!L24</x:f>
        <x:v>314311.68751655665</x:v>
      </x:c>
      <x:c r="M17" s="69" t="n">
        <x:f aca="0">Costs!M24</x:f>
        <x:v>330556.82064208173</x:v>
      </x:c>
      <x:c r="N17" s="69" t="n">
        <x:f aca="0">Costs!N24</x:f>
        <x:v>380931.0104465432</x:v>
      </x:c>
      <x:c r="O17" s="69" t="n">
        <x:f aca="0">Costs!O24</x:f>
        <x:v>397760.9211030422</x:v>
      </x:c>
      <x:c r="P17" s="69" t="n">
        <x:f aca="0">Costs!P24</x:f>
        <x:v>414160.4097390463</x:v>
      </x:c>
      <x:c r="Q17" s="69" t="n">
        <x:f aca="0">Costs!Q24</x:f>
        <x:v>430183.6413347599</x:v>
      </x:c>
      <x:c r="R17" s="69" t="n">
        <x:f aca="0">Costs!R24</x:f>
        <x:v>445881.0993550467</x:v>
      </x:c>
      <x:c r="S17" s="69" t="n">
        <x:f aca="0">Costs!S24</x:f>
        <x:v>461299.88864260376</x:v>
      </x:c>
      <x:c r="T17" s="69" t="n">
        <x:f aca="0">Costs!T24</x:f>
        <x:v>476484.01468498586</x:v>
      </x:c>
      <x:c r="U17" s="69" t="n">
        <x:f aca="0">Costs!U24</x:f>
        <x:v>491474.6411409062</x:v>
      </x:c>
      <x:c r="V17" s="69" t="n">
        <x:f aca="0">Costs!V24</x:f>
        <x:v>506310.3273612759</x:v>
      </x:c>
      <x:c r="W17" s="69" t="n">
        <x:f aca="0">Costs!W24</x:f>
        <x:v>521027.24750245415</x:v>
      </x:c>
      <x:c r="X17" s="69" t="n">
        <x:f aca="0">Costs!X24</x:f>
        <x:v>535659.3927022049</x:v>
      </x:c>
      <x:c r="Y17" s="69" t="n">
        <x:f aca="0">Costs!Y24</x:f>
        <x:v>550238.7576720084</x:v>
      </x:c>
      <x:c r="Z17" s="69" t="n">
        <x:f aca="0">SUM(B17:M17)</x:f>
        <x:v>2958160.968793188</x:v>
      </x:c>
      <x:c r="AA17" s="69" t="n">
        <x:f aca="0">SUM(N17:Y17)</x:f>
        <x:v>5611411.351684878</x:v>
      </x:c>
      <x:c r="AB17" s="52"/>
      <x:c r="AC17" s="52"/>
    </x:row>
    <x:row r="18" ht="15" hidden="0">
      <x:c r="A18" s="52" t="s">
        <x:v>217</x:v>
      </x:c>
      <x:c r="B18" s="69" t="n">
        <x:f aca="0">Costs!B25</x:f>
        <x:v>0</x:v>
      </x:c>
      <x:c r="C18" s="69" t="n">
        <x:f aca="0">Costs!C25</x:f>
        <x:v>0</x:v>
      </x:c>
      <x:c r="D18" s="69" t="n">
        <x:f aca="0">Costs!D25</x:f>
        <x:v>0</x:v>
      </x:c>
      <x:c r="E18" s="69" t="n">
        <x:f aca="0">Costs!E25</x:f>
        <x:v>0</x:v>
      </x:c>
      <x:c r="F18" s="69" t="n">
        <x:f aca="0">Costs!F25</x:f>
        <x:v>0</x:v>
      </x:c>
      <x:c r="G18" s="69" t="n">
        <x:f aca="0">Costs!G25</x:f>
        <x:v>0</x:v>
      </x:c>
      <x:c r="H18" s="69" t="n">
        <x:f aca="0">Costs!H25</x:f>
        <x:v>0</x:v>
      </x:c>
      <x:c r="I18" s="69" t="n">
        <x:f aca="0">Costs!I25</x:f>
        <x:v>0</x:v>
      </x:c>
      <x:c r="J18" s="69" t="n">
        <x:f aca="0">Costs!J25</x:f>
        <x:v>0</x:v>
      </x:c>
      <x:c r="K18" s="69" t="n">
        <x:f aca="0">Costs!K25</x:f>
        <x:v>0</x:v>
      </x:c>
      <x:c r="L18" s="69" t="n">
        <x:f aca="0">Costs!L25</x:f>
        <x:v>0</x:v>
      </x:c>
      <x:c r="M18" s="69" t="n">
        <x:f aca="0">Costs!M25</x:f>
        <x:v>0</x:v>
      </x:c>
      <x:c r="N18" s="69" t="n">
        <x:f aca="0">Costs!N25</x:f>
        <x:v>0</x:v>
      </x:c>
      <x:c r="O18" s="69" t="n">
        <x:f aca="0">Costs!O25</x:f>
        <x:v>0</x:v>
      </x:c>
      <x:c r="P18" s="69" t="n">
        <x:f aca="0">Costs!P25</x:f>
        <x:v>0</x:v>
      </x:c>
      <x:c r="Q18" s="69" t="n">
        <x:f aca="0">Costs!Q25</x:f>
        <x:v>0</x:v>
      </x:c>
      <x:c r="R18" s="69" t="n">
        <x:f aca="0">Costs!R25</x:f>
        <x:v>0</x:v>
      </x:c>
      <x:c r="S18" s="69" t="n">
        <x:f aca="0">Costs!S25</x:f>
        <x:v>0</x:v>
      </x:c>
      <x:c r="T18" s="69" t="n">
        <x:f aca="0">Costs!T25</x:f>
        <x:v>0</x:v>
      </x:c>
      <x:c r="U18" s="69" t="n">
        <x:f aca="0">Costs!U25</x:f>
        <x:v>0</x:v>
      </x:c>
      <x:c r="V18" s="69" t="n">
        <x:f aca="0">Costs!V25</x:f>
        <x:v>0</x:v>
      </x:c>
      <x:c r="W18" s="69" t="n">
        <x:f aca="0">Costs!W25</x:f>
        <x:v>0</x:v>
      </x:c>
      <x:c r="X18" s="69" t="n">
        <x:f aca="0">Costs!X25</x:f>
        <x:v>0</x:v>
      </x:c>
      <x:c r="Y18" s="69" t="n">
        <x:f aca="0">Costs!Y25</x:f>
        <x:v>0</x:v>
      </x:c>
      <x:c r="Z18" s="69" t="n">
        <x:f aca="0">SUM(B18:M18)</x:f>
        <x:v>0</x:v>
      </x:c>
      <x:c r="AA18" s="69" t="n">
        <x:f aca="0">SUM(N18:Y18)</x:f>
        <x:v>0</x:v>
      </x:c>
      <x:c r="AB18" s="52"/>
      <x:c r="AC18" s="52"/>
    </x:row>
    <x:row r="19" ht="23.850000381469727" hidden="0">
      <x:c r="A19" s="81" t="s">
        <x:v>235</x:v>
      </x:c>
      <x:c r="B19" s="89" t="n">
        <x:f aca="0">Costs!B27</x:f>
        <x:v>3561738.980518864</x:v>
      </x:c>
      <x:c r="C19" s="89" t="n">
        <x:f aca="0">Costs!C27</x:f>
        <x:v>3710995.8324272446</x:v>
      </x:c>
      <x:c r="D19" s="89" t="n">
        <x:f aca="0">Costs!D27</x:f>
        <x:v>3866444.894308834</x:v>
      </x:c>
      <x:c r="E19" s="89" t="n">
        <x:f aca="0">Costs!E27</x:f>
        <x:v>4028955.888181604</x:v>
      </x:c>
      <x:c r="F19" s="89" t="n">
        <x:f aca="0">Costs!F27</x:f>
        <x:v>4199435.1052504955</x:v>
      </x:c>
      <x:c r="G19" s="89" t="n">
        <x:f aca="0">Costs!G27</x:f>
        <x:v>4378830.730670485</x:v>
      </x:c>
      <x:c r="H19" s="89" t="n">
        <x:f aca="0">Costs!H27</x:f>
        <x:v>5168138.394467234</x:v>
      </x:c>
      <x:c r="I19" s="89" t="n">
        <x:f aca="0">Costs!I27</x:f>
        <x:v>5368406.9821920255</x:v>
      </x:c>
      <x:c r="J19" s="89" t="n">
        <x:f aca="0">Costs!J27</x:f>
        <x:v>5580744.740330869</x:v>
      </x:c>
      <x:c r="K19" s="89" t="n">
        <x:f aca="0">Costs!K27</x:f>
        <x:v>5806325.713146243</x:v>
      </x:c>
      <x:c r="L19" s="89" t="n">
        <x:f aca="0">Costs!L27</x:f>
        <x:v>6046396.549513168</x:v>
      </x:c>
      <x:c r="M19" s="89" t="n">
        <x:f aca="0">Costs!M27</x:f>
        <x:v>6302283.720430085</x:v>
      </x:c>
      <x:c r="N19" s="89" t="n">
        <x:f aca="0">Costs!N27</x:f>
        <x:v>7868600.739072432</x:v>
      </x:c>
      <x:c r="O19" s="89" t="n">
        <x:f aca="0">Costs!O27</x:f>
        <x:v>7936430.37899105</x:v>
      </x:c>
      <x:c r="P19" s="89" t="n">
        <x:f aca="0">Costs!P27</x:f>
        <x:v>8002525.287736157</x:v>
      </x:c>
      <x:c r="Q19" s="89" t="n">
        <x:f aca="0">Costs!Q27</x:f>
        <x:v>8067103.7665916085</x:v>
      </x:c>
      <x:c r="R19" s="89" t="n">
        <x:f aca="0">Costs!R27</x:f>
        <x:v>8130369.2792188255</x:v>
      </x:c>
      <x:c r="S19" s="89" t="n">
        <x:f aca="0">Costs!S27</x:f>
        <x:v>8192511.67240807</x:v>
      </x:c>
      <x:c r="T19" s="89" t="n">
        <x:f aca="0">Costs!T27</x:f>
        <x:v>8253708.301609186</x:v>
      </x:c>
      <x:c r="U19" s="89" t="n">
        <x:f aca="0">Costs!U27</x:f>
        <x:v>8314125.068840623</x:v>
      </x:c>
      <x:c r="V19" s="89" t="n">
        <x:f aca="0">Costs!V27</x:f>
        <x:v>8373917.379971204</x:v>
      </x:c>
      <x:c r="W19" s="89" t="n">
        <x:f aca="0">Costs!W27</x:f>
        <x:v>8433231.027812922</x:v>
      </x:c>
      <x:c r="X19" s="89" t="n">
        <x:f aca="0">Costs!X27</x:f>
        <x:v>8492203.006951312</x:v>
      </x:c>
      <x:c r="Y19" s="89" t="n">
        <x:f aca="0">Costs!Y27</x:f>
        <x:v>8550962.265769005</x:v>
      </x:c>
      <x:c r="Z19" s="82" t="n">
        <x:f aca="0">SUM(B19:M19)</x:f>
        <x:v>58018697.53143716</x:v>
      </x:c>
      <x:c r="AA19" s="82" t="n">
        <x:f aca="0">SUM(N19:Y19)</x:f>
        <x:v>98615688.17497241</x:v>
      </x:c>
      <x:c r="AB19" s="52"/>
      <x:c r="AC19" s="52"/>
    </x:row>
    <x:row r="20" ht="23.850000381469727" hidden="0">
      <x:c r="A20" s="71" t="s">
        <x:v>236</x:v>
      </x:c>
      <x:c r="B20" s="72" t="n">
        <x:f aca="0">B9-B19</x:f>
        <x:v>-3239667.230518864</x:v>
      </x:c>
      <x:c r="C20" s="72" t="n">
        <x:f aca="0">C9-C19</x:f>
        <x:v>-3053969.4624272445</x:v>
      </x:c>
      <x:c r="D20" s="72" t="n">
        <x:f aca="0">D9-D19</x:f>
        <x:v>-2860679.233408834</x:v>
      </x:c>
      <x:c r="E20" s="72" t="n">
        <x:f aca="0">E9-E19</x:f>
        <x:v>-2433683.5581016038</x:v>
      </x:c>
      <x:c r="F20" s="72" t="n">
        <x:f aca="0">F9-F19</x:f>
        <x:v>-1774497.5141802155</x:v>
      </x:c>
      <x:c r="G20" s="72" t="n">
        <x:f aca="0">G9-G19</x:f>
        <x:v>-883890.2579367175</x:v>
      </x:c>
      <x:c r="H20" s="72" t="n">
        <x:f aca="0">H9-H19</x:f>
        <x:v>-361885.81064102985</x:v>
      </x:c>
      <x:c r="I20" s="72" t="n">
        <x:f aca="0">I9-I19</x:f>
        <x:v>992238.3300287481</x:v>
      </x:c>
      <x:c r="J20" s="72" t="n">
        <x:f aca="0">J9-J19</x:f>
        <x:v>2579954.756667774</x:v>
      </x:c>
      <x:c r="K20" s="72" t="n">
        <x:f aca="0">K9-K19</x:f>
        <x:v>4403491.906154903</x:v>
      </x:c>
      <x:c r="L20" s="72" t="n">
        <x:f aca="0">L9-L19</x:f>
        <x:v>6465842.01621187</x:v>
      </x:c>
      <x:c r="M20" s="72" t="n">
        <x:f aca="0">M9-M19</x:f>
        <x:v>8770771.305714263</x:v>
      </x:c>
      <x:c r="N20" s="72" t="n">
        <x:f aca="0">N9-N19</x:f>
        <x:v>10008234.265259456</x:v>
      </x:c>
      <x:c r="O20" s="72" t="n">
        <x:f aca="0">O9-O19</x:f>
        <x:v>12992620.600178618</x:v>
      </x:c>
      <x:c r="P20" s="72" t="n">
        <x:f aca="0">P9-P19</x:f>
        <x:v>16233478.001977565</x:v>
      </x:c>
      <x:c r="Q20" s="72" t="n">
        <x:f aca="0">Q9-Q19</x:f>
        <x:v>19722721.80977443</x:v>
      </x:c>
      <x:c r="R20" s="72" t="n">
        <x:f aca="0">R9-R19</x:f>
        <x:v>23452890.63375305</x:v>
      </x:c>
      <x:c r="S20" s="72" t="n">
        <x:f aca="0">S9-S19</x:f>
        <x:v>27417118.4172013</x:v>
      </x:c>
      <x:c r="T20" s="72" t="n">
        <x:f aca="0">T9-T19</x:f>
        <x:v>31609108.052805647</x:v>
      </x:c>
      <x:c r="U20" s="72" t="n">
        <x:f aca="0">U9-U19</x:f>
        <x:v>36023106.47516307</x:v>
      </x:c>
      <x:c r="V20" s="72" t="n">
        <x:f aca="0">V9-V19</x:f>
        <x:v>40653881.155671224</x:v>
      </x:c>
      <x:c r="W20" s="72" t="n">
        <x:f aca="0">W9-W19</x:f>
        <x:v>45496697.92993138</x:v>
      </x:c>
      <x:c r="X20" s="72" t="n">
        <x:f aca="0">X9-X19</x:f>
        <x:v>50547300.09155832</x:v>
      </x:c>
      <x:c r="Y20" s="72" t="n">
        <x:f aca="0">Y9-Y19</x:f>
        <x:v>55801888.68985033</x:v>
      </x:c>
      <x:c r="Z20" s="72" t="n">
        <x:f aca="0">SUM(B20:M20)</x:f>
        <x:v>8604025.24756305</x:v>
      </x:c>
      <x:c r="AA20" s="72" t="n">
        <x:f aca="0">SUM(N20:Y20)</x:f>
        <x:v>369959046.12312436</x:v>
      </x:c>
      <x:c r="AB20" s="52"/>
      <x:c r="AC20" s="52"/>
    </x:row>
    <x:row r="21" ht="15" hidden="0">
      <x:c r="A21" s="52" t="s">
        <x:v>237</x:v>
      </x:c>
      <x:c r="B21" s="88" t="n">
        <x:f aca="0">IFERROR(B20/B9,0)</x:f>
        <x:v>-10.058836984364087</x:v>
      </x:c>
      <x:c r="C21" s="88" t="n">
        <x:f aca="0">IFERROR(C20/C9,0)</x:f>
        <x:v>-4.648168782673433</x:v>
      </x:c>
      <x:c r="D21" s="88" t="n">
        <x:f aca="0">IFERROR(D20/D9,0)</x:f>
        <x:v>-2.8442800789688736</x:v>
      </x:c>
      <x:c r="E21" s="88" t="n">
        <x:f aca="0">IFERROR(E20/E9,0)</x:f>
        <x:v>-1.525559938709373</x:v>
      </x:c>
      <x:c r="F21" s="88" t="n">
        <x:f aca="0">IFERROR(F20/F9,0)</x:f>
        <x:v>-0.7317703848192714</x:v>
      </x:c>
      <x:c r="G21" s="88" t="n">
        <x:f aca="0">IFERROR(G20/G9,0)</x:f>
        <x:v>-0.2529056688754794</x:v>
      </x:c>
      <x:c r="H21" s="88" t="n">
        <x:f aca="0">IFERROR(H20/H9,0)</x:f>
        <x:v>-0.07529479658618703</x:v>
      </x:c>
      <x:c r="I21" s="88" t="n">
        <x:f aca="0">IFERROR(I20/I9,0)</x:f>
        <x:v>0.1559964879856373</x:v>
      </x:c>
      <x:c r="J21" s="88" t="n">
        <x:f aca="0">IFERROR(J20/J9,0)</x:f>
        <x:v>0.31614382536896923</x:v>
      </x:c>
      <x:c r="K21" s="88" t="n">
        <x:f aca="0">IFERROR(K20/K9,0)</x:f>
        <x:v>0.43129976169508877</x:v>
      </x:c>
      <x:c r="L21" s="88" t="n">
        <x:f aca="0">IFERROR(L20/L9,0)</x:f>
        <x:v>0.5167614078206475</x:v>
      </x:c>
      <x:c r="M21" s="88" t="n">
        <x:f aca="0">IFERROR(M20/M9,0)</x:f>
        <x:v>0.5818841164250567</x:v>
      </x:c>
      <x:c r="N21" s="88" t="n">
        <x:f aca="0">IFERROR(N20/N9,0)</x:f>
        <x:v>0.559843745430009</x:v>
      </x:c>
      <x:c r="O21" s="88" t="n">
        <x:f aca="0">IFERROR(O20/O9,0)</x:f>
        <x:v>0.6207935855815897</x:v>
      </x:c>
      <x:c r="P21" s="88" t="n">
        <x:f aca="0">IFERROR(P20/P9,0)</x:f>
        <x:v>0.6698083759077307</x:v>
      </x:c>
      <x:c r="Q21" s="88" t="n">
        <x:f aca="0">IFERROR(Q20/Q9,0)</x:f>
        <x:v>0.7097101691256275</x:v>
      </x:c>
      <x:c r="R21" s="88" t="n">
        <x:f aca="0">IFERROR(R20/R9,0)</x:f>
        <x:v>0.7425734613329285</x:v>
      </x:c>
      <x:c r="S21" s="88" t="n">
        <x:f aca="0">IFERROR(S20/S9,0)</x:f>
        <x:v>0.7699355019473065</x:v>
      </x:c>
      <x:c r="T21" s="88" t="n">
        <x:f aca="0">IFERROR(T20/T9,0)</x:f>
        <x:v>0.7929471859633148</x:v>
      </x:c>
      <x:c r="U21" s="88" t="n">
        <x:f aca="0">IFERROR(U20/U9,0)</x:f>
        <x:v>0.8124798328784005</x:v>
      </x:c>
      <x:c r="V21" s="88" t="n">
        <x:f aca="0">IFERROR(V20/V9,0)</x:f>
        <x:v>0.8292006243379764</x:v>
      </x:c>
      <x:c r="W21" s="88" t="n">
        <x:f aca="0">IFERROR(W20/W9,0)</x:f>
        <x:v>0.8436261424631097</x:v>
      </x:c>
      <x:c r="X21" s="88" t="n">
        <x:f aca="0">IFERROR(X20/X9,0)</x:f>
        <x:v>0.8561606625858326</x:v>
      </x:c>
      <x:c r="Y21" s="88" t="n">
        <x:f aca="0">IFERROR(Y20/Y9,0)</x:f>
        <x:v>0.867123800441007</x:v>
      </x:c>
      <x:c r="Z21" s="88" t="n">
        <x:f aca="0">IFERROR(Z20/Z9,0)</x:f>
        <x:v>0.1291455060476015</x:v>
      </x:c>
      <x:c r="AA21" s="88" t="n">
        <x:f aca="0">IFERROR(AA20/AA9,0)</x:f>
        <x:v>0.7895411746373946</x:v>
      </x:c>
      <x:c r="AB21" s="52"/>
      <x:c r="AC21" s="52"/>
    </x:row>
    <x:row r="22" ht="15" hidden="0">
      <x:c r="A22" s="52" t="s">
        <x:v>238</x:v>
      </x:c>
      <x:c r="B22" s="69" t="n">
        <x:f aca="0">IF(COLUMN()-COLUMN($B$22)+1&lt;Assumptions!$B$75,0,SUM($B$13:B13)/Assumptions!$B$74)</x:f>
        <x:v>333333.333333333</x:v>
      </x:c>
      <x:c r="C22" s="69" t="n">
        <x:f aca="0">IF(COLUMN()-COLUMN($B$22)+1&lt;Assumptions!$B$75,0,SUM($B$13:C13)/Assumptions!$B$74)</x:f>
        <x:v>333333.3333333333</x:v>
      </x:c>
      <x:c r="D22" s="69" t="n">
        <x:f aca="0">IF(COLUMN()-COLUMN($B$22)+1&lt;Assumptions!$B$75,0,SUM($B$13:D13)/Assumptions!$B$74)</x:f>
        <x:v>333333.3333333333</x:v>
      </x:c>
      <x:c r="E22" s="69" t="n">
        <x:f aca="0">IF(COLUMN()-COLUMN($B$22)+1&lt;Assumptions!$B$75,0,SUM($B$13:E13)/Assumptions!$B$74)</x:f>
        <x:v>333333.3333333333</x:v>
      </x:c>
      <x:c r="F22" s="69" t="n">
        <x:f aca="0">IF(COLUMN()-COLUMN($B$22)+1&lt;Assumptions!$B$75,0,SUM($B$13:F13)/Assumptions!$B$74)</x:f>
        <x:v>333333.3333333333</x:v>
      </x:c>
      <x:c r="G22" s="69" t="n">
        <x:f aca="0">IF(COLUMN()-COLUMN($B$22)+1&lt;Assumptions!$B$75,0,SUM($B$13:G13)/Assumptions!$B$74)</x:f>
        <x:v>333333.3333333333</x:v>
      </x:c>
      <x:c r="H22" s="69" t="n">
        <x:f aca="0">IF(COLUMN()-COLUMN($B$22)+1&lt;Assumptions!$B$75,0,SUM($B$13:H13)/Assumptions!$B$74)</x:f>
        <x:v>333333.3333333333</x:v>
      </x:c>
      <x:c r="I22" s="69" t="n">
        <x:f aca="0">IF(COLUMN()-COLUMN($B$22)+1&lt;Assumptions!$B$75,0,SUM($B$13:I13)/Assumptions!$B$74)</x:f>
        <x:v>333333.3333333333</x:v>
      </x:c>
      <x:c r="J22" s="69" t="n">
        <x:f aca="0">IF(COLUMN()-COLUMN($B$22)+1&lt;Assumptions!$B$75,0,SUM($B$13:J13)/Assumptions!$B$74)</x:f>
        <x:v>333333.3333333333</x:v>
      </x:c>
      <x:c r="K22" s="69" t="n">
        <x:f aca="0">IF(COLUMN()-COLUMN($B$22)+1&lt;Assumptions!$B$75,0,SUM($B$13:K13)/Assumptions!$B$74)</x:f>
        <x:v>333333.3333333333</x:v>
      </x:c>
      <x:c r="L22" s="69" t="n">
        <x:f aca="0">IF(COLUMN()-COLUMN($B$22)+1&lt;Assumptions!$B$75,0,SUM($B$13:L13)/Assumptions!$B$74)</x:f>
        <x:v>333333.3333333333</x:v>
      </x:c>
      <x:c r="M22" s="69" t="n">
        <x:f aca="0">IF(COLUMN()-COLUMN($B$22)+1&lt;Assumptions!$B$75,0,SUM($B$13:M13)/Assumptions!$B$74)</x:f>
        <x:v>333333.3333333333</x:v>
      </x:c>
      <x:c r="N22" s="69" t="n">
        <x:f aca="0">IF(COLUMN()-COLUMN($B$22)+1&lt;Assumptions!$B$75,0,SUM($B$13:N13)/Assumptions!$B$74)</x:f>
        <x:v>333333.3333333333</x:v>
      </x:c>
      <x:c r="O22" s="69" t="n">
        <x:f aca="0">IF(COLUMN()-COLUMN($B$22)+1&lt;Assumptions!$B$75,0,SUM($B$13:O13)/Assumptions!$B$74)</x:f>
        <x:v>333333.3333333333</x:v>
      </x:c>
      <x:c r="P22" s="69" t="n">
        <x:f aca="0">IF(COLUMN()-COLUMN($B$22)+1&lt;Assumptions!$B$75,0,SUM($B$13:P13)/Assumptions!$B$74)</x:f>
        <x:v>333333.3333333333</x:v>
      </x:c>
      <x:c r="Q22" s="69" t="n">
        <x:f aca="0">IF(COLUMN()-COLUMN($B$22)+1&lt;Assumptions!$B$75,0,SUM($B$13:Q13)/Assumptions!$B$74)</x:f>
        <x:v>333333.3333333333</x:v>
      </x:c>
      <x:c r="R22" s="69" t="n">
        <x:f aca="0">IF(COLUMN()-COLUMN($B$22)+1&lt;Assumptions!$B$75,0,SUM($B$13:R13)/Assumptions!$B$74)</x:f>
        <x:v>333333.3333333333</x:v>
      </x:c>
      <x:c r="S22" s="69" t="n">
        <x:f aca="0">IF(COLUMN()-COLUMN($B$22)+1&lt;Assumptions!$B$75,0,SUM($B$13:S13)/Assumptions!$B$74)</x:f>
        <x:v>333333.3333333333</x:v>
      </x:c>
      <x:c r="T22" s="69" t="n">
        <x:f aca="0">IF(COLUMN()-COLUMN($B$22)+1&lt;Assumptions!$B$75,0,SUM($B$13:T13)/Assumptions!$B$74)</x:f>
        <x:v>333333.3333333333</x:v>
      </x:c>
      <x:c r="U22" s="69" t="n">
        <x:f aca="0">IF(COLUMN()-COLUMN($B$22)+1&lt;Assumptions!$B$75,0,SUM($B$13:U13)/Assumptions!$B$74)</x:f>
        <x:v>333333.3333333333</x:v>
      </x:c>
      <x:c r="V22" s="69" t="n">
        <x:f aca="0">IF(COLUMN()-COLUMN($B$22)+1&lt;Assumptions!$B$75,0,SUM($B$13:V13)/Assumptions!$B$74)</x:f>
        <x:v>333333.3333333333</x:v>
      </x:c>
      <x:c r="W22" s="69" t="n">
        <x:f aca="0">IF(COLUMN()-COLUMN($B$22)+1&lt;Assumptions!$B$75,0,SUM($B$13:W13)/Assumptions!$B$74)</x:f>
        <x:v>333333.3333333333</x:v>
      </x:c>
      <x:c r="X22" s="69" t="n">
        <x:f aca="0">IF(COLUMN()-COLUMN($B$22)+1&lt;Assumptions!$B$75,0,SUM($B$13:X13)/Assumptions!$B$74)</x:f>
        <x:v>333333.3333333333</x:v>
      </x:c>
      <x:c r="Y22" s="69" t="n">
        <x:f aca="0">IF(COLUMN()-COLUMN($B$22)+1&lt;Assumptions!$B$75,0,SUM($B$13:Y13)/Assumptions!$B$74)</x:f>
        <x:v>333333.3333333333</x:v>
      </x:c>
      <x:c r="Z22" s="69" t="n">
        <x:f aca="0">SUM(B22:M22)</x:f>
        <x:v>4000000</x:v>
      </x:c>
      <x:c r="AA22" s="69" t="n">
        <x:f aca="0">SUM(N22:Y22)</x:f>
        <x:v>4000000.0000000005</x:v>
      </x:c>
      <x:c r="AB22" s="52"/>
      <x:c r="AC22" s="52"/>
    </x:row>
    <x:row r="23" ht="23.850000381469727" hidden="0">
      <x:c r="A23" s="81" t="s">
        <x:v>239</x:v>
      </x:c>
      <x:c r="B23" s="82" t="n">
        <x:f aca="0">B20-B22</x:f>
        <x:v>-3573000.563852197</x:v>
      </x:c>
      <x:c r="C23" s="82" t="n">
        <x:f aca="0">C20-C22</x:f>
        <x:v>-3387302.795760578</x:v>
      </x:c>
      <x:c r="D23" s="82" t="n">
        <x:f aca="0">D20-D22</x:f>
        <x:v>-3194012.5667421673</x:v>
      </x:c>
      <x:c r="E23" s="82" t="n">
        <x:f aca="0">E20-E22</x:f>
        <x:v>-2767016.8914349372</x:v>
      </x:c>
      <x:c r="F23" s="82" t="n">
        <x:f aca="0">F20-F22</x:f>
        <x:v>-2107830.847513549</x:v>
      </x:c>
      <x:c r="G23" s="82" t="n">
        <x:f aca="0">G20-G22</x:f>
        <x:v>-1217223.5912700507</x:v>
      </x:c>
      <x:c r="H23" s="82" t="n">
        <x:f aca="0">H20-H22</x:f>
        <x:v>-695219.1439743631</x:v>
      </x:c>
      <x:c r="I23" s="82" t="n">
        <x:f aca="0">I20-I22</x:f>
        <x:v>658904.9966954149</x:v>
      </x:c>
      <x:c r="J23" s="82" t="n">
        <x:f aca="0">J20-J22</x:f>
        <x:v>2246621.4233344407</x:v>
      </x:c>
      <x:c r="K23" s="82" t="n">
        <x:f aca="0">K20-K22</x:f>
        <x:v>4070158.572821569</x:v>
      </x:c>
      <x:c r="L23" s="82" t="n">
        <x:f aca="0">L20-L22</x:f>
        <x:v>6132508.682878537</x:v>
      </x:c>
      <x:c r="M23" s="82" t="n">
        <x:f aca="0">M20-M22</x:f>
        <x:v>8437437.972380929</x:v>
      </x:c>
      <x:c r="N23" s="82" t="n">
        <x:f aca="0">N20-N22</x:f>
        <x:v>9674900.931926122</x:v>
      </x:c>
      <x:c r="O23" s="82" t="n">
        <x:f aca="0">O20-O22</x:f>
        <x:v>12659287.266845284</x:v>
      </x:c>
      <x:c r="P23" s="82" t="n">
        <x:f aca="0">P20-P22</x:f>
        <x:v>15900144.66864423</x:v>
      </x:c>
      <x:c r="Q23" s="82" t="n">
        <x:f aca="0">Q20-Q22</x:f>
        <x:v>19389388.476441097</x:v>
      </x:c>
      <x:c r="R23" s="82" t="n">
        <x:f aca="0">R20-R22</x:f>
        <x:v>23119557.300419718</x:v>
      </x:c>
      <x:c r="S23" s="82" t="n">
        <x:f aca="0">S20-S22</x:f>
        <x:v>27083785.083867967</x:v>
      </x:c>
      <x:c r="T23" s="82" t="n">
        <x:f aca="0">T20-T22</x:f>
        <x:v>31275774.719472315</x:v>
      </x:c>
      <x:c r="U23" s="82" t="n">
        <x:f aca="0">U20-U22</x:f>
        <x:v>35689773.14182974</x:v>
      </x:c>
      <x:c r="V23" s="82" t="n">
        <x:f aca="0">V20-V22</x:f>
        <x:v>40320547.82233789</x:v>
      </x:c>
      <x:c r="W23" s="82" t="n">
        <x:f aca="0">W20-W22</x:f>
        <x:v>45163364.596598044</x:v>
      </x:c>
      <x:c r="X23" s="82" t="n">
        <x:f aca="0">X20-X22</x:f>
        <x:v>50213966.75822499</x:v>
      </x:c>
      <x:c r="Y23" s="82" t="n">
        <x:f aca="0">Y20-Y22</x:f>
        <x:v>55468555.356516995</x:v>
      </x:c>
      <x:c r="Z23" s="82" t="n">
        <x:f aca="0">SUM(B23:M23)</x:f>
        <x:v>4604025.2475630455</x:v>
      </x:c>
      <x:c r="AA23" s="82" t="n">
        <x:f aca="0">SUM(N23:Y23)</x:f>
        <x:v>365959046.12312436</x:v>
      </x:c>
      <x:c r="AB23" s="52"/>
      <x:c r="AC23" s="52"/>
    </x:row>
    <x:row r="24" ht="23.850000381469727" hidden="0">
      <x:c r="A24" s="52" t="s">
        <x:v>78</x:v>
      </x:c>
      <x:c r="B24" s="69" t="n">
        <x:f aca="0">MAX(B23,0)*Assumptions!$B$70</x:f>
        <x:v>0</x:v>
      </x:c>
      <x:c r="C24" s="69" t="n">
        <x:f aca="0">MAX(C23,0)*Assumptions!$B$70</x:f>
        <x:v>0</x:v>
      </x:c>
      <x:c r="D24" s="69" t="n">
        <x:f aca="0">MAX(D23,0)*Assumptions!$B$70</x:f>
        <x:v>0</x:v>
      </x:c>
      <x:c r="E24" s="69" t="n">
        <x:f aca="0">MAX(E23,0)*Assumptions!$B$70</x:f>
        <x:v>0</x:v>
      </x:c>
      <x:c r="F24" s="69" t="n">
        <x:f aca="0">MAX(F23,0)*Assumptions!$B$70</x:f>
        <x:v>0</x:v>
      </x:c>
      <x:c r="G24" s="69" t="n">
        <x:f aca="0">MAX(G23,0)*Assumptions!$B$70</x:f>
        <x:v>0</x:v>
      </x:c>
      <x:c r="H24" s="69" t="n">
        <x:f aca="0">MAX(H23,0)*Assumptions!$B$70</x:f>
        <x:v>0</x:v>
      </x:c>
      <x:c r="I24" s="69" t="n">
        <x:f aca="0">MAX(I23,0)*Assumptions!$B$70</x:f>
        <x:v>131780.99933908298</x:v>
      </x:c>
      <x:c r="J24" s="69" t="n">
        <x:f aca="0">MAX(J23,0)*Assumptions!$B$70</x:f>
        <x:v>449324.2846668882</x:v>
      </x:c>
      <x:c r="K24" s="69" t="n">
        <x:f aca="0">MAX(K23,0)*Assumptions!$B$70</x:f>
        <x:v>814031.7145643139</x:v>
      </x:c>
      <x:c r="L24" s="69" t="n">
        <x:f aca="0">MAX(L23,0)*Assumptions!$B$70</x:f>
        <x:v>1226501.7365757076</x:v>
      </x:c>
      <x:c r="M24" s="69" t="n">
        <x:f aca="0">MAX(M23,0)*Assumptions!$B$70</x:f>
        <x:v>1687487.5944761857</x:v>
      </x:c>
      <x:c r="N24" s="69" t="n">
        <x:f aca="0">MAX(N23,0)*Assumptions!$B$70</x:f>
        <x:v>1934980.1863852246</x:v>
      </x:c>
      <x:c r="O24" s="69" t="n">
        <x:f aca="0">MAX(O23,0)*Assumptions!$B$70</x:f>
        <x:v>2531857.453369057</x:v>
      </x:c>
      <x:c r="P24" s="69" t="n">
        <x:f aca="0">MAX(P23,0)*Assumptions!$B$70</x:f>
        <x:v>3180028.9337288463</x:v>
      </x:c>
      <x:c r="Q24" s="69" t="n">
        <x:f aca="0">MAX(Q23,0)*Assumptions!$B$70</x:f>
        <x:v>3877877.6952882195</x:v>
      </x:c>
      <x:c r="R24" s="69" t="n">
        <x:f aca="0">MAX(R23,0)*Assumptions!$B$70</x:f>
        <x:v>4623911.460083944</x:v>
      </x:c>
      <x:c r="S24" s="69" t="n">
        <x:f aca="0">MAX(S23,0)*Assumptions!$B$70</x:f>
        <x:v>5416757.016773594</x:v>
      </x:c>
      <x:c r="T24" s="69" t="n">
        <x:f aca="0">MAX(T23,0)*Assumptions!$B$70</x:f>
        <x:v>6255154.943894464</x:v>
      </x:c>
      <x:c r="U24" s="69" t="n">
        <x:f aca="0">MAX(U23,0)*Assumptions!$B$70</x:f>
        <x:v>7137954.628365948</x:v>
      </x:c>
      <x:c r="V24" s="69" t="n">
        <x:f aca="0">MAX(V23,0)*Assumptions!$B$70</x:f>
        <x:v>8064109.564467578</x:v>
      </x:c>
      <x:c r="W24" s="69" t="n">
        <x:f aca="0">MAX(W23,0)*Assumptions!$B$70</x:f>
        <x:v>9032672.91931961</x:v>
      </x:c>
      <x:c r="X24" s="69" t="n">
        <x:f aca="0">MAX(X23,0)*Assumptions!$B$70</x:f>
        <x:v>10042793.351644998</x:v>
      </x:c>
      <x:c r="Y24" s="69" t="n">
        <x:f aca="0">MAX(Y23,0)*Assumptions!$B$70</x:f>
        <x:v>11093711.0713034</x:v>
      </x:c>
      <x:c r="Z24" s="90" t="n">
        <x:f aca="0">SUM(B24:M24)</x:f>
        <x:v>4309126.329622178</x:v>
      </x:c>
      <x:c r="AA24" s="90" t="n">
        <x:f aca="0">SUM(N24:Y24)</x:f>
        <x:v>73191809.22462489</x:v>
      </x:c>
      <x:c r="AB24" s="52"/>
      <x:c r="AC24" s="52"/>
    </x:row>
    <x:row r="25" ht="23.850000381469727" hidden="0">
      <x:c r="A25" s="71" t="s">
        <x:v>240</x:v>
      </x:c>
      <x:c r="B25" s="72" t="n">
        <x:f aca="0">B23-B24</x:f>
        <x:v>-3573000.563852197</x:v>
      </x:c>
      <x:c r="C25" s="72" t="n">
        <x:f aca="0">C23-C24</x:f>
        <x:v>-3387302.795760578</x:v>
      </x:c>
      <x:c r="D25" s="72" t="n">
        <x:f aca="0">D23-D24</x:f>
        <x:v>-3194012.5667421673</x:v>
      </x:c>
      <x:c r="E25" s="72" t="n">
        <x:f aca="0">E23-E24</x:f>
        <x:v>-2767016.8914349372</x:v>
      </x:c>
      <x:c r="F25" s="72" t="n">
        <x:f aca="0">F23-F24</x:f>
        <x:v>-2107830.847513549</x:v>
      </x:c>
      <x:c r="G25" s="72" t="n">
        <x:f aca="0">G23-G24</x:f>
        <x:v>-1217223.5912700507</x:v>
      </x:c>
      <x:c r="H25" s="72" t="n">
        <x:f aca="0">H23-H24</x:f>
        <x:v>-695219.1439743631</x:v>
      </x:c>
      <x:c r="I25" s="72" t="n">
        <x:f aca="0">I23-I24</x:f>
        <x:v>527123.9973563319</x:v>
      </x:c>
      <x:c r="J25" s="72" t="n">
        <x:f aca="0">J23-J24</x:f>
        <x:v>1797297.1386675525</x:v>
      </x:c>
      <x:c r="K25" s="72" t="n">
        <x:f aca="0">K23-K24</x:f>
        <x:v>3256126.8582572555</x:v>
      </x:c>
      <x:c r="L25" s="72" t="n">
        <x:f aca="0">L23-L24</x:f>
        <x:v>4906006.946302829</x:v>
      </x:c>
      <x:c r="M25" s="72" t="n">
        <x:f aca="0">M23-M24</x:f>
        <x:v>6749950.377904743</x:v>
      </x:c>
      <x:c r="N25" s="72" t="n">
        <x:f aca="0">N23-N24</x:f>
        <x:v>7739920.745540897</x:v>
      </x:c>
      <x:c r="O25" s="72" t="n">
        <x:f aca="0">O23-O24</x:f>
        <x:v>10127429.813476227</x:v>
      </x:c>
      <x:c r="P25" s="72" t="n">
        <x:f aca="0">P23-P24</x:f>
        <x:v>12720115.734915385</x:v>
      </x:c>
      <x:c r="Q25" s="72" t="n">
        <x:f aca="0">Q23-Q24</x:f>
        <x:v>15511510.781152878</x:v>
      </x:c>
      <x:c r="R25" s="72" t="n">
        <x:f aca="0">R23-R24</x:f>
        <x:v>18495645.840335775</x:v>
      </x:c>
      <x:c r="S25" s="72" t="n">
        <x:f aca="0">S23-S24</x:f>
        <x:v>21667028.067094374</x:v>
      </x:c>
      <x:c r="T25" s="72" t="n">
        <x:f aca="0">T23-T24</x:f>
        <x:v>25020619.77557785</x:v>
      </x:c>
      <x:c r="U25" s="72" t="n">
        <x:f aca="0">U23-U24</x:f>
        <x:v>28551818.513463788</x:v>
      </x:c>
      <x:c r="V25" s="72" t="n">
        <x:f aca="0">V23-V24</x:f>
        <x:v>32256438.25787031</x:v>
      </x:c>
      <x:c r="W25" s="72" t="n">
        <x:f aca="0">W23-W24</x:f>
        <x:v>36130691.67727844</x:v>
      </x:c>
      <x:c r="X25" s="72" t="n">
        <x:f aca="0">X23-X24</x:f>
        <x:v>40171173.406579986</x:v>
      </x:c>
      <x:c r="Y25" s="72" t="n">
        <x:f aca="0">Y23-Y24</x:f>
        <x:v>44374844.2852136</x:v>
      </x:c>
      <x:c r="Z25" s="72" t="n">
        <x:f aca="0">SUM(B25:M25)</x:f>
        <x:v>294898.91794086806</x:v>
      </x:c>
      <x:c r="AA25" s="72" t="n">
        <x:f aca="0">SUM(N25:Y25)</x:f>
        <x:v>292767236.8984995</x:v>
      </x:c>
      <x:c r="AB25" s="52"/>
      <x:c r="AC25" s="52"/>
    </x:row>
    <x:row r="26" ht="15" hidden="0">
      <x:c r="A26" s="52" t="s">
        <x:v>241</x:v>
      </x:c>
      <x:c r="B26" s="88" t="n">
        <x:f aca="0">IFERROR(B25/B9,0)</x:f>
        <x:v>-11.09380305429519</x:v>
      </x:c>
      <x:c r="C26" s="88" t="n">
        <x:f aca="0">IFERROR(C25/C9,0)</x:f>
        <x:v>-5.155505091463191</x:v>
      </x:c>
      <x:c r="D26" s="88" t="n">
        <x:f aca="0">IFERROR(D25/D9,0)</x:f>
        <x:v>-3.1757025427613375</x:v>
      </x:c>
      <x:c r="E26" s="88" t="n">
        <x:f aca="0">IFERROR(E25/E9,0)</x:f>
        <x:v>-1.7345106783718716</x:v>
      </x:c>
      <x:c r="F26" s="88" t="n">
        <x:f aca="0">IFERROR(F25/F9,0)</x:f>
        <x:v>-0.8692309671290256</x:v>
      </x:c>
      <x:c r="G26" s="88" t="n">
        <x:f aca="0">IFERROR(G25/G9,0)</x:f>
        <x:v>-0.3482816376319937</x:v>
      </x:c>
      <x:c r="H26" s="88" t="n">
        <x:f aca="0">IFERROR(H25/H9,0)</x:f>
        <x:v>-0.1446488988768266</x:v>
      </x:c>
      <x:c r="I26" s="88" t="n">
        <x:f aca="0">IFERROR(I25/I9,0)</x:f>
        <x:v>0.0828727230464436</x:v>
      </x:c>
      <x:c r="J26" s="88" t="n">
        <x:f aca="0">IFERROR(J25/J9,0)</x:f>
        <x:v>0.2202381228874517</x:v>
      </x:c>
      <x:c r="K26" s="88" t="n">
        <x:f aca="0">IFERROR(K25/K9,0)</x:f>
        <x:v>0.3189211580138035</x:v>
      </x:c>
      <x:c r="L26" s="88" t="n">
        <x:f aca="0">IFERROR(L25/L9,0)</x:f>
        <x:v>0.39209665964505563</x:v>
      </x:c>
      <x:c r="M26" s="88" t="n">
        <x:f aca="0">IFERROR(M25/M9,0)</x:f>
        <x:v>0.4478156794489832</x:v>
      </x:c>
      <x:c r="N26" s="88" t="n">
        <x:f aca="0">IFERROR(N25/N9,0)</x:f>
        <x:v>0.4329581127568371</x:v>
      </x:c>
      <x:c r="O26" s="88" t="n">
        <x:f aca="0">IFERROR(O25/O9,0)</x:f>
        <x:v>0.4838934084281169</x:v>
      </x:c>
      <x:c r="P26" s="88" t="n">
        <x:f aca="0">IFERROR(P25/P9,0)</x:f>
        <x:v>0.5248437864470036</x:v>
      </x:c>
      <x:c r="Q26" s="88" t="n">
        <x:f aca="0">IFERROR(Q25/Q9,0)</x:f>
        <x:v>0.5581722972145856</x:v>
      </x:c>
      <x:c r="R26" s="88" t="n">
        <x:f aca="0">IFERROR(R25/R9,0)</x:f>
        <x:v>0.5856154776707911</x:v>
      </x:c>
      <x:c r="S26" s="88" t="n">
        <x:f aca="0">IFERROR(S25/S9,0)</x:f>
        <x:v>0.6084597905839144</x:v>
      </x:c>
      <x:c r="T26" s="88" t="n">
        <x:f aca="0">IFERROR(T25/T9,0)</x:f>
        <x:v>0.6276681394792317</x:v>
      </x:c>
      <x:c r="U26" s="88" t="n">
        <x:f aca="0">IFERROR(U25/U9,0)</x:f>
        <x:v>0.6439693575618667</x:v>
      </x:c>
      <x:c r="V26" s="88" t="n">
        <x:f aca="0">IFERROR(V25/V9,0)</x:f>
        <x:v>0.6579214082888178</x:v>
      </x:c>
      <x:c r="W26" s="88" t="n">
        <x:f aca="0">IFERROR(W25/W9,0)</x:f>
        <x:v>0.6699562260797322</x:v>
      </x:c>
      <x:c r="X26" s="88" t="n">
        <x:f aca="0">IFERROR(X25/X9,0)</x:f>
        <x:v>0.6804117802203191</x:v>
      </x:c>
      <x:c r="Y26" s="88" t="n">
        <x:f aca="0">IFERROR(Y25/Y9,0)</x:f>
        <x:v>0.6895552197961908</x:v>
      </x:c>
      <x:c r="Z26" s="88" t="n">
        <x:f aca="0">IFERROR(Z25/Z9,0)</x:f>
        <x:v>0.004426401468446462</x:v>
      </x:c>
      <x:c r="AA26" s="88" t="n">
        <x:f aca="0">IFERROR(AA25/AA9,0)</x:f>
        <x:v>0.6248037195967283</x:v>
      </x:c>
      <x:c r="AB26" s="52"/>
      <x:c r="AC26" s="52"/>
    </x:row>
    <x:row r="27" ht="15" hidden="0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52"/>
      <x:c r="AC27" s="52"/>
    </x:row>
    <x:row r="28" ht="15" hidden="0">
      <x:c r="A28" s="58" t="s">
        <x:v>242</x:v>
      </x:c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58"/>
      <x:c r="Q28" s="58"/>
      <x:c r="R28" s="58"/>
      <x:c r="S28" s="58"/>
      <x:c r="T28" s="58"/>
      <x:c r="U28" s="58"/>
      <x:c r="V28" s="58"/>
      <x:c r="W28" s="58"/>
      <x:c r="X28" s="58"/>
      <x:c r="Y28" s="58"/>
      <x:c r="Z28" s="58"/>
      <x:c r="AA28" s="58"/>
      <x:c r="AB28" s="59"/>
      <x:c r="AC28" s="59"/>
    </x:row>
    <x:row r="29" ht="15" hidden="0">
      <x:c r="A29" s="52" t="s">
        <x:v>243</x:v>
      </x:c>
      <x:c r="B29" s="91" t="n">
        <x:f aca="0">IFERROR(B9/B19,0)</x:f>
        <x:v>0.09042542189688518</x:v>
      </x:c>
      <x:c r="C29" s="91" t="n">
        <x:f aca="0">IFERROR(C9/C19,0)</x:f>
        <x:v>0.17704853351189562</x:v>
      </x:c>
      <x:c r="D29" s="91" t="n">
        <x:f aca="0">IFERROR(D9/D19,0)</x:f>
        <x:v>0.26012672840117923</x:v>
      </x:c>
      <x:c r="E29" s="91" t="n">
        <x:f aca="0">IFERROR(E9/E19,0)</x:f>
        <x:v>0.3959517985191934</x:v>
      </x:c>
      <x:c r="F29" s="91" t="n">
        <x:f aca="0">IFERROR(F9/F19,0)</x:f>
        <x:v>0.577443758575627</x:v>
      </x:c>
      <x:c r="G29" s="91" t="n">
        <x:f aca="0">IFERROR(G9/G19,0)</x:f>
        <x:v>0.798144684665311</x:v>
      </x:c>
      <x:c r="H29" s="91" t="n">
        <x:f aca="0">IFERROR(H9/H19,0)</x:f>
        <x:v>0.929977530975477</x:v>
      </x:c>
      <x:c r="I29" s="91" t="n">
        <x:f aca="0">IFERROR(I9/I19,0)</x:f>
        <x:v>1.1848291929654704</x:v>
      </x:c>
      <x:c r="J29" s="91" t="n">
        <x:f aca="0">IFERROR(J9/J19,0)</x:f>
        <x:v>1.462295782500673</x:v>
      </x:c>
      <x:c r="K29" s="91" t="n">
        <x:f aca="0">IFERROR(K9/K19,0)</x:f>
        <x:v>1.7583956057072117</x:v>
      </x:c>
      <x:c r="L29" s="91" t="n">
        <x:f aca="0">IFERROR(L9/L19,0)</x:f>
        <x:v>2.069371147470054</x:v>
      </x:c>
      <x:c r="M29" s="91" t="n">
        <x:f aca="0">IFERROR(M9/M19,0)</x:f>
        <x:v>2.391681443550707</x:v>
      </x:c>
      <x:c r="N29" s="91" t="n">
        <x:f aca="0">IFERROR(N9/N19,0)</x:f>
        <x:v>2.2719204591945337</x:v>
      </x:c>
      <x:c r="O29" s="91" t="n">
        <x:f aca="0">IFERROR(O9/O19,0)</x:f>
        <x:v>2.637086193633359</x:v>
      </x:c>
      <x:c r="P29" s="91" t="n">
        <x:f aca="0">IFERROR(P9/P19,0)</x:f>
        <x:v>3.0285444179545817</x:v>
      </x:c>
      <x:c r="Q29" s="91" t="n">
        <x:f aca="0">IFERROR(Q9/Q19,0)</x:f>
        <x:v>3.4448330380293815</x:v>
      </x:c>
      <x:c r="R29" s="91" t="n">
        <x:f aca="0">IFERROR(R9/R19,0)</x:f>
        <x:v>3.884603371423546</x:v>
      </x:c>
      <x:c r="S29" s="91" t="n">
        <x:f aca="0">IFERROR(S9/S19,0)</x:f>
        <x:v>4.346607183916582</x:v>
      </x:c>
      <x:c r="T29" s="91" t="n">
        <x:f aca="0">IFERROR(T9/T19,0)</x:f>
        <x:v>4.829685627082674</x:v>
      </x:c>
      <x:c r="U29" s="91" t="n">
        <x:f aca="0">IFERROR(U9/U19,0)</x:f>
        <x:v>5.332759752456596</x:v>
      </x:c>
      <x:c r="V29" s="91" t="n">
        <x:f aca="0">IFERROR(V9/V19,0)</x:f>
        <x:v>5.85482233833683</x:v>
      </x:c>
      <x:c r="W29" s="91" t="n">
        <x:f aca="0">IFERROR(W9/W19,0)</x:f>
        <x:v>6.39493081357342</x:v>
      </x:c>
      <x:c r="X29" s="91" t="n">
        <x:f aca="0">IFERROR(X9/X19,0)</x:f>
        <x:v>6.952201101431833</x:v>
      </x:c>
      <x:c r="Y29" s="91" t="n">
        <x:f aca="0">IFERROR(Y9/Y19,0)</x:f>
        <x:v>7.525802237864507</x:v>
      </x:c>
      <x:c r="Z29" s="91" t="n">
        <x:f aca="0">AVERAGE(B29:M29)</x:f>
        <x:v>1.0079743023949737</x:v>
      </x:c>
      <x:c r="AA29" s="91" t="n">
        <x:f aca="0">AVERAGE(N29:Y29)</x:f>
        <x:v>4.708649711241487</x:v>
      </x:c>
      <x:c r="AB29" s="52"/>
      <x:c r="AC29" s="52"/>
    </x:row>
    <x:row r="30" ht="15" hidden="0">
      <x:c r="A30" s="52" t="s">
        <x:v>244</x:v>
      </x:c>
      <x:c r="B30" s="88" t="n">
        <x:f aca="0">IFERROR(B15/B9,0)</x:f>
        <x:v>3.249041067578037</x:v>
      </x:c>
      <x:c r="C30" s="88" t="n">
        <x:f aca="0">IFERROR(C15/C9,0)</x:f>
        <x:v>1.721991765816359</x:v>
      </x:c>
      <x:c r="D30" s="88" t="n">
        <x:f aca="0">IFERROR(D15/D9,0)</x:f>
        <x:v>1.2162507026672604</x:v>
      </x:c>
      <x:c r="E30" s="88" t="n">
        <x:f aca="0">IFERROR(E15/E9,0)</x:f>
        <x:v>0.8290698321678439</x:v>
      </x:c>
      <x:c r="F30" s="88" t="n">
        <x:f aca="0">IFERROR(F15/F9,0)</x:f>
        <x:v>0.5897003914079102</x:v>
      </x:c>
      <x:c r="G30" s="88" t="n">
        <x:f aca="0">IFERROR(G15/G9,0)</x:f>
        <x:v>0.4423828029002027</x:v>
      </x:c>
      <x:c r="H30" s="88" t="n">
        <x:f aca="0">IFERROR(H15/H9,0)</x:f>
        <x:v>0.34780631687589925</x:v>
      </x:c>
      <x:c r="I30" s="88" t="n">
        <x:f aca="0">IFERROR(I15/I9,0)</x:f>
        <x:v>0.28415082042489925</x:v>
      </x:c>
      <x:c r="J30" s="88" t="n">
        <x:f aca="0">IFERROR(J15/J9,0)</x:f>
        <x:v>0.23945766541589303</x:v>
      </x:c>
      <x:c r="K30" s="88" t="n">
        <x:f aca="0">IFERROR(K15/K9,0)</x:f>
        <x:v>0.2069398752191598</x:v>
      </x:c>
      <x:c r="L30" s="88" t="n">
        <x:f aca="0">IFERROR(L15/L9,0)</x:f>
        <x:v>0.18257158580711969</x:v>
      </x:c>
      <x:c r="M30" s="88" t="n">
        <x:f aca="0">IFERROR(M15/M9,0)</x:f>
        <x:v>0.1638600022820226</x:v>
      </x:c>
      <x:c r="N30" s="88" t="n">
        <x:f aca="0">IFERROR(N15/N9,0)</x:f>
        <x:v>0.18646104483962656</x:v>
      </x:c>
      <x:c r="O30" s="88" t="n">
        <x:f aca="0">IFERROR(O15/O9,0)</x:f>
        <x:v>0.1592682504644355</x:v>
      </x:c>
      <x:c r="P30" s="88" t="n">
        <x:f aca="0">IFERROR(P15/P9,0)</x:f>
        <x:v>0.13753642848976141</x:v>
      </x:c>
      <x:c r="Q30" s="88" t="n">
        <x:f aca="0">IFERROR(Q15/Q9,0)</x:f>
        <x:v>0.11994797607395491</x:v>
      </x:c>
      <x:c r="R30" s="88" t="n">
        <x:f aca="0">IFERROR(R15/R9,0)</x:f>
        <x:v>0.10554114244439558</x:v>
      </x:c>
      <x:c r="S30" s="88" t="n">
        <x:f aca="0">IFERROR(S15/S9,0)</x:f>
        <x:v>0.09360763717413553</x:v>
      </x:c>
      <x:c r="T30" s="88" t="n">
        <x:f aca="0">IFERROR(T15/T9,0)</x:f>
        <x:v>0.08362011614275128</x:v>
      </x:c>
      <x:c r="U30" s="88" t="n">
        <x:f aca="0">IFERROR(U15/U9,0)</x:f>
        <x:v>0.07518135926067183</x:v>
      </x:c>
      <x:c r="V30" s="88" t="n">
        <x:f aca="0">IFERROR(V15/V9,0)</x:f>
        <x:v>0.06798863976953917</x:v>
      </x:c>
      <x:c r="W30" s="88" t="n">
        <x:f aca="0">IFERROR(W15/W9,0)</x:f>
        <x:v>0.06180859863444469</x:v>
      </x:c>
      <x:c r="X30" s="88" t="n">
        <x:f aca="0">IFERROR(X15/X9,0)</x:f>
        <x:v>0.05645937310433561</x:v>
      </x:c>
      <x:c r="Y30" s="88" t="n">
        <x:f aca="0">IFERROR(Y15/Y9,0)</x:f>
        <x:v>0.05179775695768556</x:v>
      </x:c>
      <x:c r="Z30" s="88" t="n">
        <x:f aca="0">AVERAGE(B30:M30)</x:f>
        <x:v>0.7894352357135507</x:v>
      </x:c>
      <x:c r="AA30" s="88" t="n">
        <x:f aca="0">AVERAGE(N30:Y30)</x:f>
        <x:v>0.09993486027964482</x:v>
      </x:c>
      <x:c r="AB30" s="52"/>
      <x:c r="AC30" s="52"/>
    </x:row>
    <x:row r="31" ht="15" hidden="0">
      <x:c r="A31" s="52" t="s">
        <x:v>245</x:v>
      </x:c>
      <x:c r="B31" s="88" t="n">
        <x:f aca="0">IFERROR(B14/B9,0)</x:f>
        <x:v>6.209796419586629</x:v>
      </x:c>
      <x:c r="C31" s="88" t="n">
        <x:f aca="0">IFERROR(C14/C9,0)</x:f>
        <x:v>3.044017852738544</x:v>
      </x:c>
      <x:c r="D31" s="88" t="n">
        <x:f aca="0">IFERROR(D14/D9,0)</x:f>
        <x:v>1.9885347827547806</x:v>
      </x:c>
      <x:c r="E31" s="88" t="n">
        <x:f aca="0">IFERROR(E14/E9,0)</x:f>
        <x:v>1.2537044379749904</x:v>
      </x:c>
      <x:c r="F31" s="88" t="n">
        <x:f aca="0">IFERROR(F14/F9,0)</x:f>
        <x:v>0.8247634938585253</x:v>
      </x:c>
      <x:c r="G31" s="88" t="n">
        <x:f aca="0">IFERROR(G14/G9,0)</x:f>
        <x:v>0.5722558125390862</x:v>
      </x:c>
      <x:c r="H31" s="88" t="n">
        <x:f aca="0">IFERROR(H14/H9,0)</x:f>
        <x:v>0.5409619978669887</x:v>
      </x:c>
      <x:c r="I31" s="88" t="n">
        <x:f aca="0">IFERROR(I14/I9,0)</x:f>
        <x:v>0.408763556585146</x:v>
      </x:c>
      <x:c r="J31" s="88" t="n">
        <x:f aca="0">IFERROR(J14/J9,0)</x:f>
        <x:v>0.3186001397253057</x:v>
      </x:c>
      <x:c r="K31" s="88" t="n">
        <x:f aca="0">IFERROR(K14/K9,0)</x:f>
        <x:v>0.2546568505871085</x:v>
      </x:c>
      <x:c r="L31" s="88" t="n">
        <x:f aca="0">IFERROR(L14/L9,0)</x:f>
        <x:v>0.2077965494617581</x:v>
      </x:c>
      <x:c r="M31" s="88" t="n">
        <x:f aca="0">IFERROR(M14/M9,0)</x:f>
        <x:v>0.17249323348785478</x:v>
      </x:c>
      <x:c r="N31" s="88" t="n">
        <x:f aca="0">IFERROR(N14/N9,0)</x:f>
        <x:v>0.1790026030460415</x:v>
      </x:c>
      <x:c r="O31" s="88" t="n">
        <x:f aca="0">IFERROR(O14/O9,0)</x:f>
        <x:v>0.15289752044585808</x:v>
      </x:c>
      <x:c r="P31" s="88" t="n">
        <x:f aca="0">IFERROR(P14/P9,0)</x:f>
        <x:v>0.13203497135017095</x:v>
      </x:c>
      <x:c r="Q31" s="88" t="n">
        <x:f aca="0">IFERROR(Q14/Q9,0)</x:f>
        <x:v>0.1151500570309967</x:v>
      </x:c>
      <x:c r="R31" s="88" t="n">
        <x:f aca="0">IFERROR(R14/R9,0)</x:f>
        <x:v>0.10131949674661975</x:v>
      </x:c>
      <x:c r="S31" s="88" t="n">
        <x:f aca="0">IFERROR(S14/S9,0)</x:f>
        <x:v>0.08986333168717012</x:v>
      </x:c>
      <x:c r="T31" s="88" t="n">
        <x:f aca="0">IFERROR(T14/T9,0)</x:f>
        <x:v>0.08027531149704122</x:v>
      </x:c>
      <x:c r="U31" s="88" t="n">
        <x:f aca="0">IFERROR(U14/U9,0)</x:f>
        <x:v>0.07217410489024495</x:v>
      </x:c>
      <x:c r="V31" s="88" t="n">
        <x:f aca="0">IFERROR(V14/V9,0)</x:f>
        <x:v>0.0652690941787576</x:v>
      </x:c>
      <x:c r="W31" s="88" t="n">
        <x:f aca="0">IFERROR(W14/W9,0)</x:f>
        <x:v>0.0593362546890669</x:v>
      </x:c>
      <x:c r="X31" s="88" t="n">
        <x:f aca="0">IFERROR(X14/X9,0)</x:f>
        <x:v>0.054200998180162184</x:v>
      </x:c>
      <x:c r="Y31" s="88" t="n">
        <x:f aca="0">IFERROR(Y14/Y9,0)</x:f>
        <x:v>0.04972584667937814</x:v>
      </x:c>
      <x:c r="Z31" s="88" t="n">
        <x:f aca="0">AVERAGE(B31:M31)</x:f>
        <x:v>1.3163620939305596</x:v>
      </x:c>
      <x:c r="AA31" s="88" t="n">
        <x:f aca="0">AVERAGE(N31:Y31)</x:f>
        <x:v>0.09593746586845901</x:v>
      </x:c>
      <x:c r="AB31" s="52"/>
      <x:c r="AC31" s="52"/>
    </x:row>
    <x:row r="32" ht="15" hidden="0">
      <x:c r="A32" s="52" t="s">
        <x:v>246</x:v>
      </x:c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92" t="n">
        <x:f t="array" aca="0" ref="Z32:Z32">IF(COUNTIF(B20:Y20,"&gt;=0")=0,"Нет в горизонте",COUNTIF(B20:Y20,"&lt;0")+1)</x:f>
        <x:v>8</x:v>
      </x:c>
      <x:c r="AA32" s="92" t="n">
        <x:f aca="0">Z32</x:f>
        <x:v>8</x:v>
      </x:c>
      <x:c r="AB32" s="52"/>
      <x:c r="AC32" s="52"/>
    </x:row>
    <x:row r="33" ht="15" hidden="0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  <x:c r="AA33" s="52"/>
      <x:c r="AB33" s="52"/>
      <x:c r="AC33" s="52"/>
    </x:row>
    <x:row r="34" ht="15" hidden="0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  <x:c r="AA34" s="78"/>
      <x:c r="AB34" s="78"/>
      <x:c r="AC34" s="78"/>
    </x:row>
    <x:row r="35" ht="15" hidden="0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  <x:c r="AA35" s="78"/>
      <x:c r="AB35" s="78"/>
      <x:c r="AC35" s="78"/>
    </x:row>
    <x:row r="36" ht="15" hidden="0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52"/>
      <x:c r="AC36" s="52"/>
    </x:row>
    <x:row r="37" ht="15" hidden="0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52"/>
      <x:c r="AC37" s="52"/>
    </x:row>
    <x:row r="38" ht="15" hidden="0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52"/>
      <x:c r="AC38" s="52"/>
    </x:row>
    <x:row r="39" ht="15" hidden="0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52"/>
      <x:c r="AC39" s="52"/>
    </x:row>
    <x:row r="40" ht="15" hidden="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52"/>
      <x:c r="AC40" s="52"/>
    </x:row>
    <x:row r="41" ht="15" hidden="0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52"/>
      <x:c r="AC41" s="52"/>
    </x:row>
    <x:row r="42" ht="15" hidden="0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52"/>
      <x:c r="AC42" s="52"/>
    </x:row>
    <x:row r="43" ht="15" hidden="0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52"/>
      <x:c r="AC43" s="52"/>
    </x:row>
    <x:row r="44" ht="15" hidden="0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52"/>
      <x:c r="AC44" s="52"/>
    </x:row>
    <x:row r="45" ht="15" hidden="0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52"/>
      <x:c r="AC45" s="52"/>
    </x:row>
    <x:row r="46" ht="15" hidden="0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  <x:c r="AA46" s="52"/>
      <x:c r="AC46" s="52"/>
    </x:row>
    <x:row r="47" ht="15" hidden="0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  <x:c r="AA47" s="52"/>
      <x:c r="AB47" s="52"/>
      <x:c r="AC47" s="52"/>
    </x:row>
    <x:row r="48" ht="15" hidden="0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52"/>
      <x:c r="AC48" s="52"/>
    </x:row>
    <x:row r="49" ht="15" hidden="0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52"/>
      <x:c r="AC49" s="52"/>
    </x:row>
    <x:row r="50" ht="15" hidden="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52"/>
      <x:c r="AC50" s="52"/>
    </x:row>
    <x:row r="51" ht="15" hidden="0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52"/>
      <x:c r="AC51" s="52"/>
    </x:row>
    <x:row r="52" ht="15" hidden="0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52"/>
      <x:c r="AC52" s="52"/>
    </x:row>
    <x:row r="53" ht="15" hidden="0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52"/>
      <x:c r="AC53" s="52"/>
    </x:row>
    <x:row r="54" ht="15" hidden="0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52"/>
      <x:c r="AC54" s="52"/>
    </x:row>
    <x:row r="55" ht="15" hidden="0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  <x:c r="AA55" s="52"/>
      <x:c r="AB55" s="52"/>
      <x:c r="AC55" s="52"/>
    </x:row>
  </x:sheetData>
  <x:pageMargins left="0.7" right="0.7" top="0.75" bottom="0.75" header="0.3" footer="0.3"/>
  <x:drawing xmlns:r="http://schemas.openxmlformats.org/officeDocument/2006/relationships" r:id="Rda121794680b452f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83203125" defaultRowHeight="15"/>
  <x:cols>
    <x:col min="1" max="1" width="37.15999984741211" hidden="0" customWidth="1"/>
    <x:col min="2" max="2" width="12" hidden="0" customWidth="1"/>
    <x:col min="3" max="9" width="13" hidden="0" customWidth="1"/>
    <x:col min="10" max="11" width="12" hidden="0" customWidth="1"/>
    <x:col min="12" max="12" width="10.829999923706055" hidden="0" customWidth="1"/>
    <x:col min="13" max="17" width="11.829999923706055" hidden="0" customWidth="1"/>
    <x:col min="18" max="25" width="12.829999923706055" hidden="0" customWidth="1"/>
    <x:col min="26" max="26" width="12" hidden="0" customWidth="1"/>
    <x:col min="27" max="27" width="12.829999923706055" hidden="0" customWidth="1"/>
    <x:col min="28" max="28" width="37.34000015258789" hidden="0" customWidth="1"/>
    <x:col min="29" max="29" width="15.329999923706055" hidden="0" customWidth="1"/>
  </x:cols>
  <x:sheetData>
    <x:row r="1" ht="18.75" hidden="0" customHeight="1">
      <x:c r="A1" s="49" t="s">
        <x:v>247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2"/>
      <x:c r="AC1" s="2"/>
    </x:row>
    <x:row r="2" ht="15" hidden="0" customHeight="1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  <x:c r="Z2" s="50"/>
      <x:c r="AA2" s="50"/>
      <x:c r="AB2" s="51"/>
      <x:c r="AC2" s="51"/>
    </x:row>
    <x:row r="3" ht="13.5" hidden="0" customHeight="1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  <x:c r="AA3" s="52"/>
      <x:c r="AB3" s="52"/>
      <x:c r="AC3" s="52"/>
    </x:row>
    <x:row r="4" ht="15.75" hidden="0" customHeight="1">
      <x:c r="A4" s="67" t="s">
        <x:v>84</x:v>
      </x:c>
      <x:c r="B4" s="54" t="s">
        <x:v>120</x:v>
      </x:c>
      <x:c r="C4" s="54" t="s">
        <x:v>121</x:v>
      </x:c>
      <x:c r="D4" s="54" t="s">
        <x:v>122</x:v>
      </x:c>
      <x:c r="E4" s="54" t="s">
        <x:v>123</x:v>
      </x:c>
      <x:c r="F4" s="54" t="s">
        <x:v>124</x:v>
      </x:c>
      <x:c r="G4" s="54" t="s">
        <x:v>125</x:v>
      </x:c>
      <x:c r="H4" s="54" t="s">
        <x:v>126</x:v>
      </x:c>
      <x:c r="I4" s="54" t="s">
        <x:v>127</x:v>
      </x:c>
      <x:c r="J4" s="54" t="s">
        <x:v>128</x:v>
      </x:c>
      <x:c r="K4" s="54" t="s">
        <x:v>129</x:v>
      </x:c>
      <x:c r="L4" s="54" t="s">
        <x:v>130</x:v>
      </x:c>
      <x:c r="M4" s="54" t="s">
        <x:v>131</x:v>
      </x:c>
      <x:c r="N4" s="54" t="s">
        <x:v>132</x:v>
      </x:c>
      <x:c r="O4" s="54" t="s">
        <x:v>133</x:v>
      </x:c>
      <x:c r="P4" s="54" t="s">
        <x:v>134</x:v>
      </x:c>
      <x:c r="Q4" s="54" t="s">
        <x:v>135</x:v>
      </x:c>
      <x:c r="R4" s="54" t="s">
        <x:v>136</x:v>
      </x:c>
      <x:c r="S4" s="54" t="s">
        <x:v>137</x:v>
      </x:c>
      <x:c r="T4" s="54" t="s">
        <x:v>138</x:v>
      </x:c>
      <x:c r="U4" s="54" t="s">
        <x:v>139</x:v>
      </x:c>
      <x:c r="V4" s="54" t="s">
        <x:v>140</x:v>
      </x:c>
      <x:c r="W4" s="54" t="s">
        <x:v>141</x:v>
      </x:c>
      <x:c r="X4" s="54" t="s">
        <x:v>142</x:v>
      </x:c>
      <x:c r="Y4" s="54" t="s">
        <x:v>143</x:v>
      </x:c>
      <x:c r="Z4" s="54" t="s">
        <x:v>144</x:v>
      </x:c>
      <x:c r="AA4" s="54" t="s">
        <x:v>145</x:v>
      </x:c>
      <x:c r="AB4" s="55"/>
      <x:c r="AC4" s="55"/>
    </x:row>
    <x:row r="5" ht="13.5" hidden="0" customHeight="1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  <x:c r="AA5" s="52"/>
      <x:c r="AB5" s="52"/>
      <x:c r="AC5" s="52"/>
    </x:row>
    <x:row r="6" ht="15" hidden="0" customHeight="1">
      <x:c r="A6" s="58" t="s">
        <x:v>248</x:v>
      </x:c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8"/>
      <x:c r="AA6" s="58"/>
      <x:c r="AB6" s="59"/>
      <x:c r="AC6" s="59"/>
    </x:row>
    <x:row r="7" ht="15" hidden="0" customHeight="1">
      <x:c r="A7" s="52" t="s">
        <x:v>239</x:v>
      </x:c>
      <x:c r="B7" s="69" t="n">
        <x:f aca="0">'P&amp;L'!B23</x:f>
        <x:v>-3573000.563852197</x:v>
      </x:c>
      <x:c r="C7" s="69" t="n">
        <x:f aca="0">'P&amp;L'!C23</x:f>
        <x:v>-3387302.795760578</x:v>
      </x:c>
      <x:c r="D7" s="69" t="n">
        <x:f aca="0">'P&amp;L'!D23</x:f>
        <x:v>-3194012.5667421673</x:v>
      </x:c>
      <x:c r="E7" s="69" t="n">
        <x:f aca="0">'P&amp;L'!E23</x:f>
        <x:v>-2767016.8914349372</x:v>
      </x:c>
      <x:c r="F7" s="69" t="n">
        <x:f aca="0">'P&amp;L'!F23</x:f>
        <x:v>-2107830.847513549</x:v>
      </x:c>
      <x:c r="G7" s="69" t="n">
        <x:f aca="0">'P&amp;L'!G23</x:f>
        <x:v>-1217223.5912700507</x:v>
      </x:c>
      <x:c r="H7" s="69" t="n">
        <x:f aca="0">'P&amp;L'!H23</x:f>
        <x:v>-695219.1439743631</x:v>
      </x:c>
      <x:c r="I7" s="69" t="n">
        <x:f aca="0">'P&amp;L'!I23</x:f>
        <x:v>658904.9966954149</x:v>
      </x:c>
      <x:c r="J7" s="69" t="n">
        <x:f aca="0">'P&amp;L'!J23</x:f>
        <x:v>2246621.4233344407</x:v>
      </x:c>
      <x:c r="K7" s="69" t="n">
        <x:f aca="0">'P&amp;L'!K23</x:f>
        <x:v>4070158.572821569</x:v>
      </x:c>
      <x:c r="L7" s="69" t="n">
        <x:f aca="0">'P&amp;L'!L23</x:f>
        <x:v>6132508.682878537</x:v>
      </x:c>
      <x:c r="M7" s="69" t="n">
        <x:f aca="0">'P&amp;L'!M23</x:f>
        <x:v>8437437.972380929</x:v>
      </x:c>
      <x:c r="N7" s="69" t="n">
        <x:f aca="0">'P&amp;L'!N23</x:f>
        <x:v>9674900.931926122</x:v>
      </x:c>
      <x:c r="O7" s="69" t="n">
        <x:f aca="0">'P&amp;L'!O23</x:f>
        <x:v>12659287.266845284</x:v>
      </x:c>
      <x:c r="P7" s="69" t="n">
        <x:f aca="0">'P&amp;L'!P23</x:f>
        <x:v>15900144.66864423</x:v>
      </x:c>
      <x:c r="Q7" s="69" t="n">
        <x:f aca="0">'P&amp;L'!Q23</x:f>
        <x:v>19389388.476441097</x:v>
      </x:c>
      <x:c r="R7" s="69" t="n">
        <x:f aca="0">'P&amp;L'!R23</x:f>
        <x:v>23119557.300419718</x:v>
      </x:c>
      <x:c r="S7" s="69" t="n">
        <x:f aca="0">'P&amp;L'!S23</x:f>
        <x:v>27083785.083867967</x:v>
      </x:c>
      <x:c r="T7" s="69" t="n">
        <x:f aca="0">'P&amp;L'!T23</x:f>
        <x:v>31275774.719472315</x:v>
      </x:c>
      <x:c r="U7" s="69" t="n">
        <x:f aca="0">'P&amp;L'!U23</x:f>
        <x:v>35689773.14182974</x:v>
      </x:c>
      <x:c r="V7" s="69" t="n">
        <x:f aca="0">'P&amp;L'!V23</x:f>
        <x:v>40320547.82233789</x:v>
      </x:c>
      <x:c r="W7" s="69" t="n">
        <x:f aca="0">'P&amp;L'!W23</x:f>
        <x:v>45163364.596598044</x:v>
      </x:c>
      <x:c r="X7" s="69" t="n">
        <x:f aca="0">'P&amp;L'!X23</x:f>
        <x:v>50213966.75822499</x:v>
      </x:c>
      <x:c r="Y7" s="69" t="n">
        <x:f aca="0">'P&amp;L'!Y23</x:f>
        <x:v>55468555.356516995</x:v>
      </x:c>
      <x:c r="Z7" s="69" t="n">
        <x:f aca="0">SUM(B7:M7)</x:f>
        <x:v>4604025.2475630455</x:v>
      </x:c>
      <x:c r="AA7" s="69" t="n">
        <x:f aca="0">SUM(N7:Y7)</x:f>
        <x:v>365959046.12312436</x:v>
      </x:c>
      <x:c r="AB7" s="52"/>
      <x:c r="AC7" s="52"/>
    </x:row>
    <x:row r="8" ht="15" hidden="0" customHeight="1">
      <x:c r="A8" s="52" t="s">
        <x:v>249</x:v>
      </x:c>
      <x:c r="B8" s="69" t="n">
        <x:f aca="0">'P&amp;L'!B24</x:f>
        <x:v>0</x:v>
      </x:c>
      <x:c r="C8" s="69" t="n">
        <x:f aca="0">'P&amp;L'!C24</x:f>
        <x:v>0</x:v>
      </x:c>
      <x:c r="D8" s="69" t="n">
        <x:f aca="0">'P&amp;L'!D24</x:f>
        <x:v>0</x:v>
      </x:c>
      <x:c r="E8" s="69" t="n">
        <x:f aca="0">'P&amp;L'!E24</x:f>
        <x:v>0</x:v>
      </x:c>
      <x:c r="F8" s="69" t="n">
        <x:f aca="0">'P&amp;L'!F24</x:f>
        <x:v>0</x:v>
      </x:c>
      <x:c r="G8" s="69" t="n">
        <x:f aca="0">'P&amp;L'!G24</x:f>
        <x:v>0</x:v>
      </x:c>
      <x:c r="H8" s="69" t="n">
        <x:f aca="0">'P&amp;L'!H24</x:f>
        <x:v>0</x:v>
      </x:c>
      <x:c r="I8" s="69" t="n">
        <x:f aca="0">'P&amp;L'!I24</x:f>
        <x:v>131780.99933908298</x:v>
      </x:c>
      <x:c r="J8" s="69" t="n">
        <x:f aca="0">'P&amp;L'!J24</x:f>
        <x:v>449324.2846668882</x:v>
      </x:c>
      <x:c r="K8" s="69" t="n">
        <x:f aca="0">'P&amp;L'!K24</x:f>
        <x:v>814031.7145643139</x:v>
      </x:c>
      <x:c r="L8" s="69" t="n">
        <x:f aca="0">'P&amp;L'!L24</x:f>
        <x:v>1226501.7365757076</x:v>
      </x:c>
      <x:c r="M8" s="69" t="n">
        <x:f aca="0">'P&amp;L'!M24</x:f>
        <x:v>1687487.5944761857</x:v>
      </x:c>
      <x:c r="N8" s="69" t="n">
        <x:f aca="0">'P&amp;L'!N24</x:f>
        <x:v>1934980.1863852246</x:v>
      </x:c>
      <x:c r="O8" s="69" t="n">
        <x:f aca="0">'P&amp;L'!O24</x:f>
        <x:v>2531857.453369057</x:v>
      </x:c>
      <x:c r="P8" s="69" t="n">
        <x:f aca="0">'P&amp;L'!P24</x:f>
        <x:v>3180028.9337288463</x:v>
      </x:c>
      <x:c r="Q8" s="69" t="n">
        <x:f aca="0">'P&amp;L'!Q24</x:f>
        <x:v>3877877.6952882195</x:v>
      </x:c>
      <x:c r="R8" s="69" t="n">
        <x:f aca="0">'P&amp;L'!R24</x:f>
        <x:v>4623911.460083944</x:v>
      </x:c>
      <x:c r="S8" s="69" t="n">
        <x:f aca="0">'P&amp;L'!S24</x:f>
        <x:v>5416757.016773594</x:v>
      </x:c>
      <x:c r="T8" s="69" t="n">
        <x:f aca="0">'P&amp;L'!T24</x:f>
        <x:v>6255154.943894464</x:v>
      </x:c>
      <x:c r="U8" s="69" t="n">
        <x:f aca="0">'P&amp;L'!U24</x:f>
        <x:v>7137954.628365948</x:v>
      </x:c>
      <x:c r="V8" s="69" t="n">
        <x:f aca="0">'P&amp;L'!V24</x:f>
        <x:v>8064109.564467578</x:v>
      </x:c>
      <x:c r="W8" s="69" t="n">
        <x:f aca="0">'P&amp;L'!W24</x:f>
        <x:v>9032672.91931961</x:v>
      </x:c>
      <x:c r="X8" s="69" t="n">
        <x:f aca="0">'P&amp;L'!X24</x:f>
        <x:v>10042793.351644998</x:v>
      </x:c>
      <x:c r="Y8" s="69" t="n">
        <x:f aca="0">'P&amp;L'!Y24</x:f>
        <x:v>11093711.0713034</x:v>
      </x:c>
      <x:c r="Z8" s="69" t="n">
        <x:f aca="0">SUM(B8:M8)</x:f>
        <x:v>4309126.329622178</x:v>
      </x:c>
      <x:c r="AA8" s="69" t="n">
        <x:f aca="0">SUM(N8:Y8)</x:f>
        <x:v>73191809.22462489</x:v>
      </x:c>
      <x:c r="AB8" s="52"/>
      <x:c r="AC8" s="52"/>
    </x:row>
    <x:row r="9" ht="15" hidden="0" customHeight="1">
      <x:c r="A9" s="52" t="s">
        <x:v>250</x:v>
      </x:c>
      <x:c r="B9" s="90" t="n">
        <x:f aca="0">B7-B8</x:f>
        <x:v>-3573000.563852197</x:v>
      </x:c>
      <x:c r="C9" s="90" t="n">
        <x:f aca="0">C7-C8</x:f>
        <x:v>-3387302.795760578</x:v>
      </x:c>
      <x:c r="D9" s="90" t="n">
        <x:f aca="0">D7-D8</x:f>
        <x:v>-3194012.5667421673</x:v>
      </x:c>
      <x:c r="E9" s="90" t="n">
        <x:f aca="0">E7-E8</x:f>
        <x:v>-2767016.8914349372</x:v>
      </x:c>
      <x:c r="F9" s="90" t="n">
        <x:f aca="0">F7-F8</x:f>
        <x:v>-2107830.847513549</x:v>
      </x:c>
      <x:c r="G9" s="90" t="n">
        <x:f aca="0">G7-G8</x:f>
        <x:v>-1217223.5912700507</x:v>
      </x:c>
      <x:c r="H9" s="90" t="n">
        <x:f aca="0">H7-H8</x:f>
        <x:v>-695219.1439743631</x:v>
      </x:c>
      <x:c r="I9" s="90" t="n">
        <x:f aca="0">I7-I8</x:f>
        <x:v>527123.9973563319</x:v>
      </x:c>
      <x:c r="J9" s="90" t="n">
        <x:f aca="0">J7-J8</x:f>
        <x:v>1797297.1386675525</x:v>
      </x:c>
      <x:c r="K9" s="90" t="n">
        <x:f aca="0">K7-K8</x:f>
        <x:v>3256126.8582572555</x:v>
      </x:c>
      <x:c r="L9" s="90" t="n">
        <x:f aca="0">L7-L8</x:f>
        <x:v>4906006.946302829</x:v>
      </x:c>
      <x:c r="M9" s="90" t="n">
        <x:f aca="0">M7-M8</x:f>
        <x:v>6749950.377904743</x:v>
      </x:c>
      <x:c r="N9" s="90" t="n">
        <x:f aca="0">N7-N8</x:f>
        <x:v>7739920.745540897</x:v>
      </x:c>
      <x:c r="O9" s="90" t="n">
        <x:f aca="0">O7-O8</x:f>
        <x:v>10127429.813476227</x:v>
      </x:c>
      <x:c r="P9" s="90" t="n">
        <x:f aca="0">P7-P8</x:f>
        <x:v>12720115.734915385</x:v>
      </x:c>
      <x:c r="Q9" s="90" t="n">
        <x:f aca="0">Q7-Q8</x:f>
        <x:v>15511510.781152878</x:v>
      </x:c>
      <x:c r="R9" s="90" t="n">
        <x:f aca="0">R7-R8</x:f>
        <x:v>18495645.840335775</x:v>
      </x:c>
      <x:c r="S9" s="90" t="n">
        <x:f aca="0">S7-S8</x:f>
        <x:v>21667028.067094374</x:v>
      </x:c>
      <x:c r="T9" s="90" t="n">
        <x:f aca="0">T7-T8</x:f>
        <x:v>25020619.77557785</x:v>
      </x:c>
      <x:c r="U9" s="90" t="n">
        <x:f aca="0">U7-U8</x:f>
        <x:v>28551818.513463788</x:v>
      </x:c>
      <x:c r="V9" s="90" t="n">
        <x:f aca="0">V7-V8</x:f>
        <x:v>32256438.25787031</x:v>
      </x:c>
      <x:c r="W9" s="90" t="n">
        <x:f aca="0">W7-W8</x:f>
        <x:v>36130691.67727844</x:v>
      </x:c>
      <x:c r="X9" s="90" t="n">
        <x:f aca="0">X7-X8</x:f>
        <x:v>40171173.406579986</x:v>
      </x:c>
      <x:c r="Y9" s="90" t="n">
        <x:f aca="0">Y7-Y8</x:f>
        <x:v>44374844.2852136</x:v>
      </x:c>
      <x:c r="Z9" s="90" t="n">
        <x:f aca="0">SUM(B9:M9)</x:f>
        <x:v>294898.91794086806</x:v>
      </x:c>
      <x:c r="AA9" s="90" t="n">
        <x:f aca="0">SUM(N9:Y9)</x:f>
        <x:v>292767236.8984995</x:v>
      </x:c>
      <x:c r="AB9" s="52"/>
      <x:c r="AC9" s="52"/>
    </x:row>
    <x:row r="10" ht="15" hidden="0" customHeight="1">
      <x:c r="A10" s="52" t="s">
        <x:v>251</x:v>
      </x:c>
      <x:c r="B10" s="69" t="n">
        <x:f aca="0">'P&amp;L'!B22</x:f>
        <x:v>333333.333333333</x:v>
      </x:c>
      <x:c r="C10" s="69" t="n">
        <x:f aca="0">'P&amp;L'!C22</x:f>
        <x:v>333333.3333333333</x:v>
      </x:c>
      <x:c r="D10" s="69" t="n">
        <x:f aca="0">'P&amp;L'!D22</x:f>
        <x:v>333333.3333333333</x:v>
      </x:c>
      <x:c r="E10" s="69" t="n">
        <x:f aca="0">'P&amp;L'!E22</x:f>
        <x:v>333333.3333333333</x:v>
      </x:c>
      <x:c r="F10" s="69" t="n">
        <x:f aca="0">'P&amp;L'!F22</x:f>
        <x:v>333333.3333333333</x:v>
      </x:c>
      <x:c r="G10" s="69" t="n">
        <x:f aca="0">'P&amp;L'!G22</x:f>
        <x:v>333333.3333333333</x:v>
      </x:c>
      <x:c r="H10" s="69" t="n">
        <x:f aca="0">'P&amp;L'!H22</x:f>
        <x:v>333333.3333333333</x:v>
      </x:c>
      <x:c r="I10" s="69" t="n">
        <x:f aca="0">'P&amp;L'!I22</x:f>
        <x:v>333333.3333333333</x:v>
      </x:c>
      <x:c r="J10" s="69" t="n">
        <x:f aca="0">'P&amp;L'!J22</x:f>
        <x:v>333333.3333333333</x:v>
      </x:c>
      <x:c r="K10" s="69" t="n">
        <x:f aca="0">'P&amp;L'!K22</x:f>
        <x:v>333333.3333333333</x:v>
      </x:c>
      <x:c r="L10" s="69" t="n">
        <x:f aca="0">'P&amp;L'!L22</x:f>
        <x:v>333333.3333333333</x:v>
      </x:c>
      <x:c r="M10" s="69" t="n">
        <x:f aca="0">'P&amp;L'!M22</x:f>
        <x:v>333333.3333333333</x:v>
      </x:c>
      <x:c r="N10" s="69" t="n">
        <x:f aca="0">'P&amp;L'!N22</x:f>
        <x:v>333333.3333333333</x:v>
      </x:c>
      <x:c r="O10" s="69" t="n">
        <x:f aca="0">'P&amp;L'!O22</x:f>
        <x:v>333333.3333333333</x:v>
      </x:c>
      <x:c r="P10" s="69" t="n">
        <x:f aca="0">'P&amp;L'!P22</x:f>
        <x:v>333333.3333333333</x:v>
      </x:c>
      <x:c r="Q10" s="69" t="n">
        <x:f aca="0">'P&amp;L'!Q22</x:f>
        <x:v>333333.3333333333</x:v>
      </x:c>
      <x:c r="R10" s="69" t="n">
        <x:f aca="0">'P&amp;L'!R22</x:f>
        <x:v>333333.3333333333</x:v>
      </x:c>
      <x:c r="S10" s="69" t="n">
        <x:f aca="0">'P&amp;L'!S22</x:f>
        <x:v>333333.3333333333</x:v>
      </x:c>
      <x:c r="T10" s="69" t="n">
        <x:f aca="0">'P&amp;L'!T22</x:f>
        <x:v>333333.3333333333</x:v>
      </x:c>
      <x:c r="U10" s="69" t="n">
        <x:f aca="0">'P&amp;L'!U22</x:f>
        <x:v>333333.3333333333</x:v>
      </x:c>
      <x:c r="V10" s="69" t="n">
        <x:f aca="0">'P&amp;L'!V22</x:f>
        <x:v>333333.3333333333</x:v>
      </x:c>
      <x:c r="W10" s="69" t="n">
        <x:f aca="0">'P&amp;L'!W22</x:f>
        <x:v>333333.3333333333</x:v>
      </x:c>
      <x:c r="X10" s="69" t="n">
        <x:f aca="0">'P&amp;L'!X22</x:f>
        <x:v>333333.3333333333</x:v>
      </x:c>
      <x:c r="Y10" s="69" t="n">
        <x:f aca="0">'P&amp;L'!Y22</x:f>
        <x:v>333333.3333333333</x:v>
      </x:c>
      <x:c r="Z10" s="69" t="n">
        <x:f aca="0">SUM(B10:M10)</x:f>
        <x:v>4000000</x:v>
      </x:c>
      <x:c r="AA10" s="69" t="n">
        <x:f aca="0">SUM(N10:Y10)</x:f>
        <x:v>4000000.0000000005</x:v>
      </x:c>
      <x:c r="AB10" s="52"/>
      <x:c r="AC10" s="52"/>
    </x:row>
    <x:row r="11" ht="15.75" hidden="0" customHeight="1">
      <x:c r="A11" s="81" t="s">
        <x:v>252</x:v>
      </x:c>
      <x:c r="B11" s="82" t="n">
        <x:f aca="0">B9+B10</x:f>
        <x:v>-3239667.230518864</x:v>
      </x:c>
      <x:c r="C11" s="82" t="n">
        <x:f aca="0">C9+C10</x:f>
        <x:v>-3053969.4624272445</x:v>
      </x:c>
      <x:c r="D11" s="82" t="n">
        <x:f aca="0">D9+D10</x:f>
        <x:v>-2860679.233408834</x:v>
      </x:c>
      <x:c r="E11" s="82" t="n">
        <x:f aca="0">E9+E10</x:f>
        <x:v>-2433683.5581016038</x:v>
      </x:c>
      <x:c r="F11" s="82" t="n">
        <x:f aca="0">F9+F10</x:f>
        <x:v>-1774497.5141802158</x:v>
      </x:c>
      <x:c r="G11" s="82" t="n">
        <x:f aca="0">G9+G10</x:f>
        <x:v>-883890.2579367175</x:v>
      </x:c>
      <x:c r="H11" s="82" t="n">
        <x:f aca="0">H9+H10</x:f>
        <x:v>-361885.8106410298</x:v>
      </x:c>
      <x:c r="I11" s="82" t="n">
        <x:f aca="0">I9+I10</x:f>
        <x:v>860457.3306896652</x:v>
      </x:c>
      <x:c r="J11" s="82" t="n">
        <x:f aca="0">J9+J10</x:f>
        <x:v>2130630.4720008858</x:v>
      </x:c>
      <x:c r="K11" s="82" t="n">
        <x:f aca="0">K9+K10</x:f>
        <x:v>3589460.191590589</x:v>
      </x:c>
      <x:c r="L11" s="82" t="n">
        <x:f aca="0">L9+L10</x:f>
        <x:v>5239340.279636162</x:v>
      </x:c>
      <x:c r="M11" s="82" t="n">
        <x:f aca="0">M9+M10</x:f>
        <x:v>7083283.711238076</x:v>
      </x:c>
      <x:c r="N11" s="82" t="n">
        <x:f aca="0">N9+N10</x:f>
        <x:v>8073254.07887423</x:v>
      </x:c>
      <x:c r="O11" s="82" t="n">
        <x:f aca="0">O9+O10</x:f>
        <x:v>10460763.146809561</x:v>
      </x:c>
      <x:c r="P11" s="82" t="n">
        <x:f aca="0">P9+P10</x:f>
        <x:v>13053449.068248719</x:v>
      </x:c>
      <x:c r="Q11" s="82" t="n">
        <x:f aca="0">Q9+Q10</x:f>
        <x:v>15844844.114486212</x:v>
      </x:c>
      <x:c r="R11" s="82" t="n">
        <x:f aca="0">R9+R10</x:f>
        <x:v>18828979.173669107</x:v>
      </x:c>
      <x:c r="S11" s="82" t="n">
        <x:f aca="0">S9+S10</x:f>
        <x:v>22000361.400427707</x:v>
      </x:c>
      <x:c r="T11" s="82" t="n">
        <x:f aca="0">T9+T10</x:f>
        <x:v>25353953.108911183</x:v>
      </x:c>
      <x:c r="U11" s="82" t="n">
        <x:f aca="0">U9+U10</x:f>
        <x:v>28885151.84679712</x:v>
      </x:c>
      <x:c r="V11" s="82" t="n">
        <x:f aca="0">V9+V10</x:f>
        <x:v>32589771.59120364</x:v>
      </x:c>
      <x:c r="W11" s="82" t="n">
        <x:f aca="0">W9+W10</x:f>
        <x:v>36464025.01061177</x:v>
      </x:c>
      <x:c r="X11" s="82" t="n">
        <x:f aca="0">X9+X10</x:f>
        <x:v>40504506.73991332</x:v>
      </x:c>
      <x:c r="Y11" s="82" t="n">
        <x:f aca="0">Y9+Y10</x:f>
        <x:v>44708177.61854693</x:v>
      </x:c>
      <x:c r="Z11" s="82" t="n">
        <x:f aca="0">SUM(B11:M11)</x:f>
        <x:v>4294898.91794087</x:v>
      </x:c>
      <x:c r="AA11" s="82" t="n">
        <x:f aca="0">SUM(N11:Y11)</x:f>
        <x:v>296767236.8984995</x:v>
      </x:c>
      <x:c r="AB11" s="52"/>
      <x:c r="AC11" s="52"/>
    </x:row>
    <x:row r="12" ht="13.5" hidden="0" customHeight="1">
      <x:c r="A12" s="52"/>
      <x:c r="B12" s="90"/>
      <x:c r="C12" s="90"/>
      <x:c r="D12" s="90"/>
      <x:c r="E12" s="90"/>
      <x:c r="F12" s="90"/>
      <x:c r="G12" s="90"/>
      <x:c r="H12" s="90"/>
      <x:c r="I12" s="90"/>
      <x:c r="J12" s="90"/>
      <x:c r="K12" s="90"/>
      <x:c r="L12" s="90"/>
      <x:c r="M12" s="90"/>
      <x:c r="N12" s="90"/>
      <x:c r="O12" s="90"/>
      <x:c r="P12" s="90"/>
      <x:c r="Q12" s="90"/>
      <x:c r="R12" s="90"/>
      <x:c r="S12" s="90"/>
      <x:c r="T12" s="90"/>
      <x:c r="U12" s="90"/>
      <x:c r="V12" s="90"/>
      <x:c r="W12" s="90"/>
      <x:c r="X12" s="90"/>
      <x:c r="Y12" s="90"/>
      <x:c r="Z12" s="90"/>
      <x:c r="AA12" s="90"/>
      <x:c r="AB12" s="52"/>
      <x:c r="AC12" s="52"/>
    </x:row>
    <x:row r="13" ht="15" hidden="0" customHeight="1">
      <x:c r="A13" s="58" t="s">
        <x:v>253</x:v>
      </x:c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  <x:c r="O13" s="58"/>
      <x:c r="P13" s="58"/>
      <x:c r="Q13" s="58"/>
      <x:c r="R13" s="58"/>
      <x:c r="S13" s="58"/>
      <x:c r="T13" s="58"/>
      <x:c r="U13" s="58"/>
      <x:c r="V13" s="58"/>
      <x:c r="W13" s="58"/>
      <x:c r="X13" s="58"/>
      <x:c r="Y13" s="58"/>
      <x:c r="Z13" s="58"/>
      <x:c r="AA13" s="58"/>
      <x:c r="AB13" s="59"/>
      <x:c r="AC13" s="59"/>
    </x:row>
    <x:row r="14" ht="15" hidden="0" customHeight="1">
      <x:c r="A14" s="52" t="s">
        <x:v>254</x:v>
      </x:c>
      <x:c r="B14" s="69" t="n">
        <x:f aca="0">-Costs!B14</x:f>
        <x:v>-6000000</x:v>
      </x:c>
      <x:c r="C14" s="69" t="n">
        <x:f aca="0">-Costs!C14</x:f>
        <x:v>0</x:v>
      </x:c>
      <x:c r="D14" s="69" t="n">
        <x:f aca="0">-Costs!D14</x:f>
        <x:v>0</x:v>
      </x:c>
      <x:c r="E14" s="69" t="n">
        <x:f aca="0">-Costs!E14</x:f>
        <x:v>0</x:v>
      </x:c>
      <x:c r="F14" s="69" t="n">
        <x:f aca="0">-Costs!F14</x:f>
        <x:v>0</x:v>
      </x:c>
      <x:c r="G14" s="69" t="n">
        <x:f aca="0">-Costs!G14</x:f>
        <x:v>0</x:v>
      </x:c>
      <x:c r="H14" s="69" t="n">
        <x:f aca="0">-Costs!H14</x:f>
        <x:v>0</x:v>
      </x:c>
      <x:c r="I14" s="69" t="n">
        <x:f aca="0">-Costs!I14</x:f>
        <x:v>0</x:v>
      </x:c>
      <x:c r="J14" s="69" t="n">
        <x:f aca="0">-Costs!J14</x:f>
        <x:v>0</x:v>
      </x:c>
      <x:c r="K14" s="69" t="n">
        <x:f aca="0">-Costs!K14</x:f>
        <x:v>0</x:v>
      </x:c>
      <x:c r="L14" s="69" t="n">
        <x:f aca="0">-Costs!L14</x:f>
        <x:v>0</x:v>
      </x:c>
      <x:c r="M14" s="69" t="n">
        <x:f aca="0">-Costs!M14</x:f>
        <x:v>0</x:v>
      </x:c>
      <x:c r="N14" s="69" t="n">
        <x:f aca="0">-Costs!N14</x:f>
        <x:v>0</x:v>
      </x:c>
      <x:c r="O14" s="69" t="n">
        <x:f aca="0">-Costs!O14</x:f>
        <x:v>0</x:v>
      </x:c>
      <x:c r="P14" s="69" t="n">
        <x:f aca="0">-Costs!P14</x:f>
        <x:v>0</x:v>
      </x:c>
      <x:c r="Q14" s="69" t="n">
        <x:f aca="0">-Costs!Q14</x:f>
        <x:v>0</x:v>
      </x:c>
      <x:c r="R14" s="69" t="n">
        <x:f aca="0">-Costs!R14</x:f>
        <x:v>0</x:v>
      </x:c>
      <x:c r="S14" s="69" t="n">
        <x:f aca="0">-Costs!S14</x:f>
        <x:v>0</x:v>
      </x:c>
      <x:c r="T14" s="69" t="n">
        <x:f aca="0">-Costs!T14</x:f>
        <x:v>0</x:v>
      </x:c>
      <x:c r="U14" s="69" t="n">
        <x:f aca="0">-Costs!U14</x:f>
        <x:v>0</x:v>
      </x:c>
      <x:c r="V14" s="69" t="n">
        <x:f aca="0">-Costs!V14</x:f>
        <x:v>0</x:v>
      </x:c>
      <x:c r="W14" s="69" t="n">
        <x:f aca="0">-Costs!W14</x:f>
        <x:v>0</x:v>
      </x:c>
      <x:c r="X14" s="69" t="n">
        <x:f aca="0">-Costs!X14</x:f>
        <x:v>0</x:v>
      </x:c>
      <x:c r="Y14" s="69" t="n">
        <x:f aca="0">-Costs!Y14</x:f>
        <x:v>0</x:v>
      </x:c>
      <x:c r="Z14" s="90" t="n">
        <x:f aca="0">SUM(B14:M14)</x:f>
        <x:v>-6000000</x:v>
      </x:c>
      <x:c r="AA14" s="90" t="n">
        <x:f aca="0">SUM(N14:Y14)</x:f>
        <x:v>0</x:v>
      </x:c>
      <x:c r="AB14" s="52"/>
      <x:c r="AC14" s="52"/>
    </x:row>
    <x:row r="15" ht="30" hidden="0" customHeight="1">
      <x:c r="A15" s="52" t="s">
        <x:v>255</x:v>
      </x:c>
      <x:c r="B15" s="69" t="n">
        <x:f aca="0">0</x:f>
        <x:v>0</x:v>
      </x:c>
      <x:c r="C15" s="69" t="n">
        <x:f aca="0">0</x:f>
        <x:v>0</x:v>
      </x:c>
      <x:c r="D15" s="69" t="n">
        <x:f aca="0">0</x:f>
        <x:v>0</x:v>
      </x:c>
      <x:c r="E15" s="69" t="n">
        <x:f aca="0">0</x:f>
        <x:v>0</x:v>
      </x:c>
      <x:c r="F15" s="69" t="n">
        <x:f aca="0">0</x:f>
        <x:v>0</x:v>
      </x:c>
      <x:c r="G15" s="69" t="n">
        <x:f aca="0">0</x:f>
        <x:v>0</x:v>
      </x:c>
      <x:c r="H15" s="69" t="n">
        <x:f aca="0">0</x:f>
        <x:v>0</x:v>
      </x:c>
      <x:c r="I15" s="69" t="n">
        <x:f aca="0">0</x:f>
        <x:v>0</x:v>
      </x:c>
      <x:c r="J15" s="69" t="n">
        <x:f aca="0">0</x:f>
        <x:v>0</x:v>
      </x:c>
      <x:c r="K15" s="69" t="n">
        <x:f aca="0">0</x:f>
        <x:v>0</x:v>
      </x:c>
      <x:c r="L15" s="69" t="n">
        <x:f aca="0">0</x:f>
        <x:v>0</x:v>
      </x:c>
      <x:c r="M15" s="69" t="n">
        <x:f aca="0">0</x:f>
        <x:v>0</x:v>
      </x:c>
      <x:c r="N15" s="69" t="n">
        <x:f aca="0">0</x:f>
        <x:v>0</x:v>
      </x:c>
      <x:c r="O15" s="69" t="n">
        <x:f aca="0">0</x:f>
        <x:v>0</x:v>
      </x:c>
      <x:c r="P15" s="69" t="n">
        <x:f aca="0">0</x:f>
        <x:v>0</x:v>
      </x:c>
      <x:c r="Q15" s="69" t="n">
        <x:f aca="0">0</x:f>
        <x:v>0</x:v>
      </x:c>
      <x:c r="R15" s="69" t="n">
        <x:f aca="0">0</x:f>
        <x:v>0</x:v>
      </x:c>
      <x:c r="S15" s="69" t="n">
        <x:f aca="0">0</x:f>
        <x:v>0</x:v>
      </x:c>
      <x:c r="T15" s="69" t="n">
        <x:f aca="0">0</x:f>
        <x:v>0</x:v>
      </x:c>
      <x:c r="U15" s="69" t="n">
        <x:f aca="0">0</x:f>
        <x:v>0</x:v>
      </x:c>
      <x:c r="V15" s="69" t="n">
        <x:f aca="0">0</x:f>
        <x:v>0</x:v>
      </x:c>
      <x:c r="W15" s="69" t="n">
        <x:f aca="0">0</x:f>
        <x:v>0</x:v>
      </x:c>
      <x:c r="X15" s="69" t="n">
        <x:f aca="0">0</x:f>
        <x:v>0</x:v>
      </x:c>
      <x:c r="Y15" s="69" t="n">
        <x:f aca="0">0</x:f>
        <x:v>0</x:v>
      </x:c>
      <x:c r="Z15" s="90" t="n">
        <x:f aca="0">SUM(B15:M15)</x:f>
        <x:v>0</x:v>
      </x:c>
      <x:c r="AA15" s="90" t="n">
        <x:f aca="0">SUM(N15:Y15)</x:f>
        <x:v>0</x:v>
      </x:c>
      <x:c r="AB15" s="52"/>
      <x:c r="AC15" s="52"/>
    </x:row>
    <x:row r="16" ht="15.75" hidden="0" customHeight="1">
      <x:c r="A16" s="52" t="s">
        <x:v>256</x:v>
      </x:c>
      <x:c r="B16" s="69" t="n">
        <x:f aca="0">-Costs!B26</x:f>
        <x:v>-2000000</x:v>
      </x:c>
      <x:c r="C16" s="69" t="n">
        <x:f aca="0">-Costs!C26</x:f>
        <x:v>0</x:v>
      </x:c>
      <x:c r="D16" s="69" t="n">
        <x:f aca="0">-Costs!D26</x:f>
        <x:v>0</x:v>
      </x:c>
      <x:c r="E16" s="69" t="n">
        <x:f aca="0">-Costs!E26</x:f>
        <x:v>0</x:v>
      </x:c>
      <x:c r="F16" s="69" t="n">
        <x:f aca="0">-Costs!F26</x:f>
        <x:v>0</x:v>
      </x:c>
      <x:c r="G16" s="69" t="n">
        <x:f aca="0">-Costs!G26</x:f>
        <x:v>0</x:v>
      </x:c>
      <x:c r="H16" s="69" t="n">
        <x:f aca="0">-Costs!H26</x:f>
        <x:v>0</x:v>
      </x:c>
      <x:c r="I16" s="69" t="n">
        <x:f aca="0">-Costs!I26</x:f>
        <x:v>0</x:v>
      </x:c>
      <x:c r="J16" s="69" t="n">
        <x:f aca="0">-Costs!J26</x:f>
        <x:v>0</x:v>
      </x:c>
      <x:c r="K16" s="69" t="n">
        <x:f aca="0">-Costs!K26</x:f>
        <x:v>0</x:v>
      </x:c>
      <x:c r="L16" s="69" t="n">
        <x:f aca="0">-Costs!L26</x:f>
        <x:v>0</x:v>
      </x:c>
      <x:c r="M16" s="69" t="n">
        <x:f aca="0">-Costs!M26</x:f>
        <x:v>0</x:v>
      </x:c>
      <x:c r="N16" s="69" t="n">
        <x:f aca="0">-Costs!N26</x:f>
        <x:v>0</x:v>
      </x:c>
      <x:c r="O16" s="69" t="n">
        <x:f aca="0">-Costs!O26</x:f>
        <x:v>0</x:v>
      </x:c>
      <x:c r="P16" s="69" t="n">
        <x:f aca="0">-Costs!P26</x:f>
        <x:v>0</x:v>
      </x:c>
      <x:c r="Q16" s="69" t="n">
        <x:f aca="0">-Costs!Q26</x:f>
        <x:v>0</x:v>
      </x:c>
      <x:c r="R16" s="69" t="n">
        <x:f aca="0">-Costs!R26</x:f>
        <x:v>0</x:v>
      </x:c>
      <x:c r="S16" s="69" t="n">
        <x:f aca="0">-Costs!S26</x:f>
        <x:v>0</x:v>
      </x:c>
      <x:c r="T16" s="69" t="n">
        <x:f aca="0">-Costs!T26</x:f>
        <x:v>0</x:v>
      </x:c>
      <x:c r="U16" s="69" t="n">
        <x:f aca="0">-Costs!U26</x:f>
        <x:v>0</x:v>
      </x:c>
      <x:c r="V16" s="69" t="n">
        <x:f aca="0">-Costs!V26</x:f>
        <x:v>0</x:v>
      </x:c>
      <x:c r="W16" s="69" t="n">
        <x:f aca="0">-Costs!W26</x:f>
        <x:v>0</x:v>
      </x:c>
      <x:c r="X16" s="69" t="n">
        <x:f aca="0">-Costs!X26</x:f>
        <x:v>0</x:v>
      </x:c>
      <x:c r="Y16" s="69" t="n">
        <x:f aca="0">-Costs!Y26</x:f>
        <x:v>0</x:v>
      </x:c>
      <x:c r="Z16" s="90" t="n">
        <x:f aca="0">SUM(B16:M16)</x:f>
        <x:v>-2000000</x:v>
      </x:c>
      <x:c r="AA16" s="90" t="n">
        <x:f aca="0">SUM(N16:Y16)</x:f>
        <x:v>0</x:v>
      </x:c>
      <x:c r="AB16" s="52"/>
      <x:c r="AC16" s="52"/>
    </x:row>
    <x:row r="17" ht="13.5" hidden="0" customHeight="1">
      <x:c r="A17" s="81" t="s">
        <x:v>257</x:v>
      </x:c>
      <x:c r="B17" s="82" t="n">
        <x:f aca="0">SUM(B14:B16)</x:f>
        <x:v>-8000000</x:v>
      </x:c>
      <x:c r="C17" s="82" t="n">
        <x:f aca="0">SUM(C14:C16)</x:f>
        <x:v>0</x:v>
      </x:c>
      <x:c r="D17" s="82" t="n">
        <x:f aca="0">SUM(D14:D16)</x:f>
        <x:v>0</x:v>
      </x:c>
      <x:c r="E17" s="82" t="n">
        <x:f aca="0">SUM(E14:E16)</x:f>
        <x:v>0</x:v>
      </x:c>
      <x:c r="F17" s="82" t="n">
        <x:f aca="0">SUM(F14:F16)</x:f>
        <x:v>0</x:v>
      </x:c>
      <x:c r="G17" s="82" t="n">
        <x:f aca="0">SUM(G14:G16)</x:f>
        <x:v>0</x:v>
      </x:c>
      <x:c r="H17" s="82" t="n">
        <x:f aca="0">SUM(H14:H16)</x:f>
        <x:v>0</x:v>
      </x:c>
      <x:c r="I17" s="82" t="n">
        <x:f aca="0">SUM(I14:I16)</x:f>
        <x:v>0</x:v>
      </x:c>
      <x:c r="J17" s="82" t="n">
        <x:f aca="0">SUM(J14:J16)</x:f>
        <x:v>0</x:v>
      </x:c>
      <x:c r="K17" s="82" t="n">
        <x:f aca="0">SUM(K14:K16)</x:f>
        <x:v>0</x:v>
      </x:c>
      <x:c r="L17" s="82" t="n">
        <x:f aca="0">SUM(L14:L16)</x:f>
        <x:v>0</x:v>
      </x:c>
      <x:c r="M17" s="82" t="n">
        <x:f aca="0">SUM(M14:M16)</x:f>
        <x:v>0</x:v>
      </x:c>
      <x:c r="N17" s="82" t="n">
        <x:f aca="0">SUM(N14:N16)</x:f>
        <x:v>0</x:v>
      </x:c>
      <x:c r="O17" s="82" t="n">
        <x:f aca="0">SUM(O14:O16)</x:f>
        <x:v>0</x:v>
      </x:c>
      <x:c r="P17" s="82" t="n">
        <x:f aca="0">SUM(P14:P16)</x:f>
        <x:v>0</x:v>
      </x:c>
      <x:c r="Q17" s="82" t="n">
        <x:f aca="0">SUM(Q14:Q16)</x:f>
        <x:v>0</x:v>
      </x:c>
      <x:c r="R17" s="82" t="n">
        <x:f aca="0">SUM(R14:R16)</x:f>
        <x:v>0</x:v>
      </x:c>
      <x:c r="S17" s="82" t="n">
        <x:f aca="0">SUM(S14:S16)</x:f>
        <x:v>0</x:v>
      </x:c>
      <x:c r="T17" s="82" t="n">
        <x:f aca="0">SUM(T14:T16)</x:f>
        <x:v>0</x:v>
      </x:c>
      <x:c r="U17" s="82" t="n">
        <x:f aca="0">SUM(U14:U16)</x:f>
        <x:v>0</x:v>
      </x:c>
      <x:c r="V17" s="82" t="n">
        <x:f aca="0">SUM(V14:V16)</x:f>
        <x:v>0</x:v>
      </x:c>
      <x:c r="W17" s="82" t="n">
        <x:f aca="0">SUM(W14:W16)</x:f>
        <x:v>0</x:v>
      </x:c>
      <x:c r="X17" s="82" t="n">
        <x:f aca="0">SUM(X14:X16)</x:f>
        <x:v>0</x:v>
      </x:c>
      <x:c r="Y17" s="82" t="n">
        <x:f aca="0">SUM(Y14:Y16)</x:f>
        <x:v>0</x:v>
      </x:c>
      <x:c r="Z17" s="82" t="n">
        <x:f aca="0">SUM(B17:M17)</x:f>
        <x:v>-8000000</x:v>
      </x:c>
      <x:c r="AA17" s="82" t="n">
        <x:f aca="0">SUM(N17:Y17)</x:f>
        <x:v>0</x:v>
      </x:c>
      <x:c r="AB17" s="52"/>
      <x:c r="AC17" s="52"/>
    </x:row>
    <x:row r="18" ht="15" hidden="0" customHeight="1">
      <x:c r="A18" s="58" t="s">
        <x:v>258</x:v>
      </x:c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  <x:c r="O18" s="58"/>
      <x:c r="P18" s="58"/>
      <x:c r="Q18" s="58"/>
      <x:c r="R18" s="58"/>
      <x:c r="S18" s="58"/>
      <x:c r="T18" s="58"/>
      <x:c r="U18" s="58"/>
      <x:c r="V18" s="58"/>
      <x:c r="W18" s="58"/>
      <x:c r="X18" s="58"/>
      <x:c r="Y18" s="58"/>
      <x:c r="Z18" s="58"/>
      <x:c r="AA18" s="58"/>
      <x:c r="AB18" s="59"/>
      <x:c r="AC18" s="59"/>
    </x:row>
    <x:row r="19" ht="15.75" hidden="0" customHeight="1">
      <x:c r="A19" s="71" t="s">
        <x:v>259</x:v>
      </x:c>
      <x:c r="B19" s="93" t="n">
        <x:f aca="0">B11+B17</x:f>
        <x:v>-11239667.230518864</x:v>
      </x:c>
      <x:c r="C19" s="93" t="n">
        <x:f aca="0">C11+C17</x:f>
        <x:v>-3053969.4624272445</x:v>
      </x:c>
      <x:c r="D19" s="93" t="n">
        <x:f aca="0">D11+D17</x:f>
        <x:v>-2860679.233408834</x:v>
      </x:c>
      <x:c r="E19" s="93" t="n">
        <x:f aca="0">E11+E17</x:f>
        <x:v>-2433683.5581016038</x:v>
      </x:c>
      <x:c r="F19" s="93" t="n">
        <x:f aca="0">F11+F17</x:f>
        <x:v>-1774497.5141802158</x:v>
      </x:c>
      <x:c r="G19" s="93" t="n">
        <x:f aca="0">G11+G17</x:f>
        <x:v>-883890.2579367175</x:v>
      </x:c>
      <x:c r="H19" s="93" t="n">
        <x:f aca="0">H11+H17</x:f>
        <x:v>-361885.8106410298</x:v>
      </x:c>
      <x:c r="I19" s="93" t="n">
        <x:f aca="0">I11+I17</x:f>
        <x:v>860457.3306896652</x:v>
      </x:c>
      <x:c r="J19" s="93" t="n">
        <x:f aca="0">J11+J17</x:f>
        <x:v>2130630.4720008858</x:v>
      </x:c>
      <x:c r="K19" s="93" t="n">
        <x:f aca="0">K11+K17</x:f>
        <x:v>3589460.191590589</x:v>
      </x:c>
      <x:c r="L19" s="93" t="n">
        <x:f aca="0">L11+L17</x:f>
        <x:v>5239340.279636162</x:v>
      </x:c>
      <x:c r="M19" s="93" t="n">
        <x:f aca="0">M11+M17</x:f>
        <x:v>7083283.711238076</x:v>
      </x:c>
      <x:c r="N19" s="93" t="n">
        <x:f aca="0">N11+N17</x:f>
        <x:v>8073254.07887423</x:v>
      </x:c>
      <x:c r="O19" s="93" t="n">
        <x:f aca="0">O11+O17</x:f>
        <x:v>10460763.146809561</x:v>
      </x:c>
      <x:c r="P19" s="93" t="n">
        <x:f aca="0">P11+P17</x:f>
        <x:v>13053449.068248719</x:v>
      </x:c>
      <x:c r="Q19" s="93" t="n">
        <x:f aca="0">Q11+Q17</x:f>
        <x:v>15844844.114486212</x:v>
      </x:c>
      <x:c r="R19" s="93" t="n">
        <x:f aca="0">R11+R17</x:f>
        <x:v>18828979.173669107</x:v>
      </x:c>
      <x:c r="S19" s="93" t="n">
        <x:f aca="0">S11+S17</x:f>
        <x:v>22000361.400427707</x:v>
      </x:c>
      <x:c r="T19" s="93" t="n">
        <x:f aca="0">T11+T17</x:f>
        <x:v>25353953.108911183</x:v>
      </x:c>
      <x:c r="U19" s="93" t="n">
        <x:f aca="0">U11+U17</x:f>
        <x:v>28885151.84679712</x:v>
      </x:c>
      <x:c r="V19" s="93" t="n">
        <x:f aca="0">V11+V17</x:f>
        <x:v>32589771.59120364</x:v>
      </x:c>
      <x:c r="W19" s="93" t="n">
        <x:f aca="0">W11+W17</x:f>
        <x:v>36464025.01061177</x:v>
      </x:c>
      <x:c r="X19" s="93" t="n">
        <x:f aca="0">X11+X17</x:f>
        <x:v>40504506.73991332</x:v>
      </x:c>
      <x:c r="Y19" s="93" t="n">
        <x:f aca="0">Y11+Y17</x:f>
        <x:v>44708177.61854693</x:v>
      </x:c>
      <x:c r="Z19" s="72" t="n">
        <x:f aca="0">SUM(B19:M19)</x:f>
        <x:v>-3705101.082059129</x:v>
      </x:c>
      <x:c r="AA19" s="72" t="n">
        <x:f aca="0">SUM(N19:Y19)</x:f>
        <x:v>296767236.8984995</x:v>
      </x:c>
      <x:c r="AB19" s="52"/>
      <x:c r="AC19" s="52"/>
    </x:row>
    <x:row r="20" ht="15.75" hidden="0" customHeight="1">
      <x:c r="A20" s="71" t="s">
        <x:v>260</x:v>
      </x:c>
      <x:c r="B20" s="94" t="n">
        <x:f aca="0">B19</x:f>
        <x:v>-11239667.230518864</x:v>
      </x:c>
      <x:c r="C20" s="94" t="n">
        <x:f aca="0">B20+C19</x:f>
        <x:v>-14293636.69294611</x:v>
      </x:c>
      <x:c r="D20" s="94" t="n">
        <x:f aca="0">C20+D19</x:f>
        <x:v>-17154315.926354945</x:v>
      </x:c>
      <x:c r="E20" s="94" t="n">
        <x:f aca="0">D20+E19</x:f>
        <x:v>-19587999.484456547</x:v>
      </x:c>
      <x:c r="F20" s="94" t="n">
        <x:f aca="0">E20+F19</x:f>
        <x:v>-21362496.998636764</x:v>
      </x:c>
      <x:c r="G20" s="94" t="n">
        <x:f aca="0">F20+G19</x:f>
        <x:v>-22246387.25657348</x:v>
      </x:c>
      <x:c r="H20" s="94" t="n">
        <x:f aca="0">G20+H19</x:f>
        <x:v>-22608273.067214508</x:v>
      </x:c>
      <x:c r="I20" s="94" t="n">
        <x:f aca="0">H20+I19</x:f>
        <x:v>-21747815.736524843</x:v>
      </x:c>
      <x:c r="J20" s="94" t="n">
        <x:f aca="0">I20+J19</x:f>
        <x:v>-19617185.264523957</x:v>
      </x:c>
      <x:c r="K20" s="94" t="n">
        <x:f aca="0">J20+K19</x:f>
        <x:v>-16027725.072933368</x:v>
      </x:c>
      <x:c r="L20" s="94" t="n">
        <x:f aca="0">K20+L19</x:f>
        <x:v>-10788384.793297205</x:v>
      </x:c>
      <x:c r="M20" s="94" t="n">
        <x:f aca="0">L20+M19</x:f>
        <x:v>-3705101.082059129</x:v>
      </x:c>
      <x:c r="N20" s="94" t="n">
        <x:f aca="0">M20+N19</x:f>
        <x:v>4368152.996815101</x:v>
      </x:c>
      <x:c r="O20" s="94" t="n">
        <x:f aca="0">N20+O19</x:f>
        <x:v>14828916.143624663</x:v>
      </x:c>
      <x:c r="P20" s="94" t="n">
        <x:f aca="0">O20+P19</x:f>
        <x:v>27882365.211873382</x:v>
      </x:c>
      <x:c r="Q20" s="94" t="n">
        <x:f aca="0">P20+Q19</x:f>
        <x:v>43727209.32635959</x:v>
      </x:c>
      <x:c r="R20" s="94" t="n">
        <x:f aca="0">Q20+R19</x:f>
        <x:v>62556188.5000287</x:v>
      </x:c>
      <x:c r="S20" s="94" t="n">
        <x:f aca="0">R20+S19</x:f>
        <x:v>84556549.9004564</x:v>
      </x:c>
      <x:c r="T20" s="94" t="n">
        <x:f aca="0">S20+T19</x:f>
        <x:v>109910503.00936759</x:v>
      </x:c>
      <x:c r="U20" s="94" t="n">
        <x:f aca="0">T20+U19</x:f>
        <x:v>138795654.8561647</x:v>
      </x:c>
      <x:c r="V20" s="94" t="n">
        <x:f aca="0">U20+V19</x:f>
        <x:v>171385426.44736832</x:v>
      </x:c>
      <x:c r="W20" s="94" t="n">
        <x:f aca="0">V20+W19</x:f>
        <x:v>207849451.4579801</x:v>
      </x:c>
      <x:c r="X20" s="94" t="n">
        <x:f aca="0">W20+X19</x:f>
        <x:v>248353958.1978934</x:v>
      </x:c>
      <x:c r="Y20" s="94" t="n">
        <x:f aca="0">X20+Y19</x:f>
        <x:v>293062135.81644034</x:v>
      </x:c>
      <x:c r="Z20" s="72" t="n">
        <x:f aca="0">M20</x:f>
        <x:v>-3705101.082059129</x:v>
      </x:c>
      <x:c r="AA20" s="72" t="n">
        <x:f aca="0">Y20</x:f>
        <x:v>293062135.81644034</x:v>
      </x:c>
      <x:c r="AB20" s="52"/>
      <x:c r="AC20" s="52"/>
    </x:row>
    <x:row r="21" ht="15" hidden="0" customHeight="1">
      <x:c r="A21" s="52" t="s">
        <x:v>261</x:v>
      </x:c>
      <x:c r="B21" s="95" t="n">
        <x:f aca="0">1/(1+Assumptions!$B$73)^((COLUMN()-COLUMN($B$21)+1)/12)</x:f>
        <x:v>0.984921375260889</x:v>
      </x:c>
      <x:c r="C21" s="95" t="n">
        <x:f aca="0">1/(1+Assumptions!$B$73)^((COLUMN()-COLUMN($B$21)+1)/12)</x:f>
        <x:v>0.9700701154458005</x:v>
      </x:c>
      <x:c r="D21" s="95" t="n">
        <x:f aca="0">1/(1+Assumptions!$B$73)^((COLUMN()-COLUMN($B$21)+1)/12)</x:f>
        <x:v>0.9554427922043668</x:v>
      </x:c>
      <x:c r="E21" s="95" t="n">
        <x:f aca="0">1/(1+Assumptions!$B$73)^((COLUMN()-COLUMN($B$21)+1)/12)</x:f>
        <x:v>0.9410360288810284</x:v>
      </x:c>
      <x:c r="F21" s="95" t="n">
        <x:f aca="0">1/(1+Assumptions!$B$73)^((COLUMN()-COLUMN($B$21)+1)/12)</x:f>
        <x:v>0.926846499735548</x:v>
      </x:c>
      <x:c r="G21" s="95" t="n">
        <x:f aca="0">1/(1+Assumptions!$B$73)^((COLUMN()-COLUMN($B$21)+1)/12)</x:f>
        <x:v>0.9128709291752769</x:v>
      </x:c>
      <x:c r="H21" s="95" t="n">
        <x:f aca="0">1/(1+Assumptions!$B$73)^((COLUMN()-COLUMN($B$21)+1)/12)</x:f>
        <x:v>0.899106090998999</x:v>
      </x:c>
      <x:c r="I21" s="95" t="n">
        <x:f aca="0">1/(1+Assumptions!$B$73)^((COLUMN()-COLUMN($B$21)+1)/12)</x:f>
        <x:v>0.8855488076521759</x:v>
      </x:c>
      <x:c r="J21" s="95" t="n">
        <x:f aca="0">1/(1+Assumptions!$B$73)^((COLUMN()-COLUMN($B$21)+1)/12)</x:f>
        <x:v>0.8721959494934213</x:v>
      </x:c>
      <x:c r="K21" s="95" t="n">
        <x:f aca="0">1/(1+Assumptions!$B$73)^((COLUMN()-COLUMN($B$21)+1)/12)</x:f>
        <x:v>0.8590444340720371</x:v>
      </x:c>
      <x:c r="L21" s="95" t="n">
        <x:f aca="0">1/(1+Assumptions!$B$73)^((COLUMN()-COLUMN($B$21)+1)/12)</x:f>
        <x:v>0.8460912254164427</x:v>
      </x:c>
      <x:c r="M21" s="95" t="n">
        <x:f aca="0">1/(1+Assumptions!$B$73)^((COLUMN()-COLUMN($B$21)+1)/12)</x:f>
        <x:v>0.8333333333333334</x:v>
      </x:c>
      <x:c r="N21" s="95" t="n">
        <x:f aca="0">1/(1+Assumptions!$B$73)^((COLUMN()-COLUMN($B$21)+1)/12)</x:f>
        <x:v>0.8207678127174073</x:v>
      </x:c>
      <x:c r="O21" s="95" t="n">
        <x:f aca="0">1/(1+Assumptions!$B$73)^((COLUMN()-COLUMN($B$21)+1)/12)</x:f>
        <x:v>0.8083917628715004</x:v>
      </x:c>
      <x:c r="P21" s="95" t="n">
        <x:f aca="0">1/(1+Assumptions!$B$73)^((COLUMN()-COLUMN($B$21)+1)/12)</x:f>
        <x:v>0.7962023268369725</x:v>
      </x:c>
      <x:c r="Q21" s="95" t="n">
        <x:f aca="0">1/(1+Assumptions!$B$73)^((COLUMN()-COLUMN($B$21)+1)/12)</x:f>
        <x:v>0.7841966907341904</x:v>
      </x:c>
      <x:c r="R21" s="95" t="n">
        <x:f aca="0">1/(1+Assumptions!$B$73)^((COLUMN()-COLUMN($B$21)+1)/12)</x:f>
        <x:v>0.7723720831129566</x:v>
      </x:c>
      <x:c r="S21" s="95" t="n">
        <x:f aca="0">1/(1+Assumptions!$B$73)^((COLUMN()-COLUMN($B$21)+1)/12)</x:f>
        <x:v>0.7607257743127308</x:v>
      </x:c>
      <x:c r="T21" s="95" t="n">
        <x:f aca="0">1/(1+Assumptions!$B$73)^((COLUMN()-COLUMN($B$21)+1)/12)</x:f>
        <x:v>0.7492550758324993</x:v>
      </x:c>
      <x:c r="U21" s="95" t="n">
        <x:f aca="0">1/(1+Assumptions!$B$73)^((COLUMN()-COLUMN($B$21)+1)/12)</x:f>
        <x:v>0.7379573397101465</x:v>
      </x:c>
      <x:c r="V21" s="95" t="n">
        <x:f aca="0">1/(1+Assumptions!$B$73)^((COLUMN()-COLUMN($B$21)+1)/12)</x:f>
        <x:v>0.7268299579111844</x:v>
      </x:c>
      <x:c r="W21" s="95" t="n">
        <x:f aca="0">1/(1+Assumptions!$B$73)^((COLUMN()-COLUMN($B$21)+1)/12)</x:f>
        <x:v>0.7158703617266977</x:v>
      </x:c>
      <x:c r="X21" s="95" t="n">
        <x:f aca="0">1/(1+Assumptions!$B$73)^((COLUMN()-COLUMN($B$21)+1)/12)</x:f>
        <x:v>0.7050760211803689</x:v>
      </x:c>
      <x:c r="Y21" s="95" t="n">
        <x:f aca="0">1/(1+Assumptions!$B$73)^((COLUMN()-COLUMN($B$21)+1)/12)</x:f>
        <x:v>0.6944444444444444</x:v>
      </x:c>
      <x:c r="Z21" s="96" t="n">
        <x:f aca="0">AVERAGE(B21:M21)</x:f>
        <x:v>0.9072089651391101</x:v>
      </x:c>
      <x:c r="AA21" s="96" t="n">
        <x:f aca="0">AVERAGE(N21:Y21)</x:f>
        <x:v>0.7560074709492585</x:v>
      </x:c>
      <x:c r="AB21" s="52"/>
      <x:c r="AC21" s="52"/>
    </x:row>
    <x:row r="22" ht="15.75" hidden="0" customHeight="1">
      <x:c r="A22" s="81" t="s">
        <x:v>262</x:v>
      </x:c>
      <x:c r="B22" s="97" t="n">
        <x:f aca="0">B19*B21</x:f>
        <x:v>-11070188.506157387</x:v>
      </x:c>
      <x:c r="C22" s="97" t="n">
        <x:f aca="0">C19*C21</x:f>
        <x:v>-2962564.5089847464</x:v>
      </x:c>
      <x:c r="D22" s="97" t="n">
        <x:f aca="0">D19*D21</x:f>
        <x:v>-2733215.3543691835</x:v>
      </x:c>
      <x:c r="E22" s="97" t="n">
        <x:f aca="0">E19*E21</x:f>
        <x:v>-2290183.911068985</x:v>
      </x:c>
      <x:c r="F22" s="97" t="n">
        <x:f aca="0">F19*F21</x:f>
        <x:v>-1644686.809807364</x:v>
      </x:c>
      <x:c r="G22" s="97" t="n">
        <x:f aca="0">G19*G21</x:f>
        <x:v>-806877.7210516664</x:v>
      </x:c>
      <x:c r="H22" s="97" t="n">
        <x:f aca="0">H19*H21</x:f>
        <x:v>-325373.73659346026</x:v>
      </x:c>
      <x:c r="I22" s="97" t="n">
        <x:f aca="0">I19*I21</x:f>
        <x:v>761976.9632278071</x:v>
      </x:c>
      <x:c r="J22" s="97" t="n">
        <x:f aca="0">J19*J21</x:f>
        <x:v>1858327.2675464288</x:v>
      </x:c>
      <x:c r="K22" s="97" t="n">
        <x:f aca="0">K19*K21</x:f>
        <x:v>3083505.7989090434</x:v>
      </x:c>
      <x:c r="L22" s="97" t="n">
        <x:f aca="0">L19*L21</x:f>
        <x:v>4432959.837571088</x:v>
      </x:c>
      <x:c r="M22" s="97" t="n">
        <x:f aca="0">M19*M21</x:f>
        <x:v>5902736.42603173</x:v>
      </x:c>
      <x:c r="N22" s="97" t="n">
        <x:f aca="0">N19*N21</x:f>
        <x:v>6626267.091829489</x:v>
      </x:c>
      <x:c r="O22" s="97" t="n">
        <x:f aca="0">O19*O21</x:f>
        <x:v>8456394.761230605</x:v>
      </x:c>
      <x:c r="P22" s="97" t="n">
        <x:f aca="0">P19*P21</x:f>
        <x:v>10393186.52138754</x:v>
      </x:c>
      <x:c r="Q22" s="97" t="n">
        <x:f aca="0">Q19*Q21</x:f>
        <x:v>12425474.3197792</x:v>
      </x:c>
      <x:c r="R22" s="97" t="n">
        <x:f aca="0">R19*R21</x:f>
        <x:v>14542977.867257284</x:v>
      </x:c>
      <x:c r="S22" s="97" t="n">
        <x:f aca="0">S19*S21</x:f>
        <x:v>16736241.961500281</x:v>
      </x:c>
      <x:c r="T22" s="97" t="n">
        <x:f aca="0">T19*T21</x:f>
        <x:v>18996578.059270877</x:v>
      </x:c>
      <x:c r="U22" s="97" t="n">
        <x:f aca="0">U19*U21</x:f>
        <x:v>21316009.81398603</x:v>
      </x:c>
      <x:c r="V22" s="97" t="n">
        <x:f aca="0">V19*V21</x:f>
        <x:v>23687222.313969657</x:v>
      </x:c>
      <x:c r="W22" s="97" t="n">
        <x:f aca="0">W19*W21</x:f>
        <x:v>26103514.774358</x:v>
      </x:c>
      <x:c r="X22" s="97" t="n">
        <x:f aca="0">X19*X21</x:f>
        <x:v>28558756.45205152</x:v>
      </x:c>
      <x:c r="Y22" s="97" t="n">
        <x:f aca="0">Y19*Y21</x:f>
        <x:v>31047345.568435367</x:v>
      </x:c>
      <x:c r="Z22" s="82" t="n">
        <x:f aca="0">SUM(B22:M22)</x:f>
        <x:v>-5793584.254746689</x:v>
      </x:c>
      <x:c r="AA22" s="82" t="n">
        <x:f aca="0">SUM(N22:Y22)</x:f>
        <x:v>218889969.50505584</x:v>
      </x:c>
      <x:c r="AB22" s="52"/>
      <x:c r="AC22" s="52"/>
    </x:row>
    <x:row r="23" ht="31.5" hidden="0" customHeight="1">
      <x:c r="A23" s="71" t="s">
        <x:v>263</x:v>
      </x:c>
      <x:c r="B23" s="94" t="n">
        <x:f aca="0">B22</x:f>
        <x:v>-11070188.506157387</x:v>
      </x:c>
      <x:c r="C23" s="94" t="n">
        <x:f aca="0">B23+C22</x:f>
        <x:v>-14032753.015142133</x:v>
      </x:c>
      <x:c r="D23" s="94" t="n">
        <x:f aca="0">C23+D22</x:f>
        <x:v>-16765968.369511317</x:v>
      </x:c>
      <x:c r="E23" s="94" t="n">
        <x:f aca="0">D23+E22</x:f>
        <x:v>-19056152.2805803</x:v>
      </x:c>
      <x:c r="F23" s="94" t="n">
        <x:f aca="0">E23+F22</x:f>
        <x:v>-20700839.090387665</x:v>
      </x:c>
      <x:c r="G23" s="94" t="n">
        <x:f aca="0">F23+G22</x:f>
        <x:v>-21507716.81143933</x:v>
      </x:c>
      <x:c r="H23" s="94" t="n">
        <x:f aca="0">G23+H22</x:f>
        <x:v>-21833090.54803279</x:v>
      </x:c>
      <x:c r="I23" s="94" t="n">
        <x:f aca="0">H23+I22</x:f>
        <x:v>-21071113.584804982</x:v>
      </x:c>
      <x:c r="J23" s="94" t="n">
        <x:f aca="0">I23+J22</x:f>
        <x:v>-19212786.31725855</x:v>
      </x:c>
      <x:c r="K23" s="94" t="n">
        <x:f aca="0">J23+K22</x:f>
        <x:v>-16129280.518349508</x:v>
      </x:c>
      <x:c r="L23" s="94" t="n">
        <x:f aca="0">K23+L22</x:f>
        <x:v>-11696320.68077842</x:v>
      </x:c>
      <x:c r="M23" s="94" t="n">
        <x:f aca="0">L23+M22</x:f>
        <x:v>-5793584.254746689</x:v>
      </x:c>
      <x:c r="N23" s="94" t="n">
        <x:f aca="0">M23+N22</x:f>
        <x:v>832682.8370827995</x:v>
      </x:c>
      <x:c r="O23" s="94" t="n">
        <x:f aca="0">N23+O22</x:f>
        <x:v>9289077.598313404</x:v>
      </x:c>
      <x:c r="P23" s="94" t="n">
        <x:f aca="0">O23+P22</x:f>
        <x:v>19682264.119700946</x:v>
      </x:c>
      <x:c r="Q23" s="94" t="n">
        <x:f aca="0">P23+Q22</x:f>
        <x:v>32107738.43948015</x:v>
      </x:c>
      <x:c r="R23" s="94" t="n">
        <x:f aca="0">Q23+R22</x:f>
        <x:v>46650716.30673743</x:v>
      </x:c>
      <x:c r="S23" s="94" t="n">
        <x:f aca="0">R23+S22</x:f>
        <x:v>63386958.26823771</x:v>
      </x:c>
      <x:c r="T23" s="94" t="n">
        <x:f aca="0">S23+T22</x:f>
        <x:v>82383536.32750858</x:v>
      </x:c>
      <x:c r="U23" s="94" t="n">
        <x:f aca="0">T23+U22</x:f>
        <x:v>103699546.14149462</x:v>
      </x:c>
      <x:c r="V23" s="94" t="n">
        <x:f aca="0">U23+V22</x:f>
        <x:v>127386768.45546427</x:v>
      </x:c>
      <x:c r="W23" s="94" t="n">
        <x:f aca="0">V23+W22</x:f>
        <x:v>153490283.22982228</x:v>
      </x:c>
      <x:c r="X23" s="94" t="n">
        <x:f aca="0">W23+X22</x:f>
        <x:v>182049039.6818738</x:v>
      </x:c>
      <x:c r="Y23" s="94" t="n">
        <x:f aca="0">X23+Y22</x:f>
        <x:v>213096385.25030917</x:v>
      </x:c>
      <x:c r="Z23" s="72" t="n">
        <x:f aca="0">M23</x:f>
        <x:v>-5793584.254746689</x:v>
      </x:c>
      <x:c r="AA23" s="72" t="n">
        <x:f aca="0">Y23</x:f>
        <x:v>213096385.25030917</x:v>
      </x:c>
      <x:c r="AB23" s="52"/>
      <x:c r="AC23" s="52"/>
    </x:row>
    <x:row r="24" ht="13.5" hidden="0" customHeight="1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  <x:c r="AA24" s="52"/>
      <x:c r="AB24" s="52"/>
      <x:c r="AC24" s="52"/>
    </x:row>
    <x:row r="25" ht="15" hidden="0" customHeight="1">
      <x:c r="A25" s="58" t="s">
        <x:v>264</x:v>
      </x:c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  <x:c r="O25" s="58"/>
      <x:c r="P25" s="58"/>
      <x:c r="Q25" s="58"/>
      <x:c r="R25" s="58"/>
      <x:c r="S25" s="58"/>
      <x:c r="T25" s="58"/>
      <x:c r="U25" s="58"/>
      <x:c r="V25" s="58"/>
      <x:c r="W25" s="58"/>
      <x:c r="X25" s="58"/>
      <x:c r="Y25" s="58"/>
      <x:c r="Z25" s="58"/>
      <x:c r="AA25" s="58"/>
      <x:c r="AB25" s="59"/>
      <x:c r="AC25" s="59"/>
    </x:row>
    <x:row r="26" ht="30" hidden="0" customHeight="1">
      <x:c r="A26" s="52" t="s">
        <x:v>265</x:v>
      </x:c>
      <x:c r="B26" s="92" t="n">
        <x:f t="array" aca="0" ref="B26:B26">IF(COUNTIF(B20:Y20,"&gt;=0")=0,"Нет в горизонте",COUNTIF(B20:Y20,"&lt;0")+1)</x:f>
        <x:v>13</x:v>
      </x:c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  <x:c r="AA26" s="52"/>
      <x:c r="AB26" s="52"/>
      <x:c r="AC26" s="52"/>
    </x:row>
    <x:row r="27" ht="30" hidden="0" customHeight="1">
      <x:c r="A27" s="52" t="s">
        <x:v>266</x:v>
      </x:c>
      <x:c r="B27" s="92" t="n">
        <x:f t="array" aca="0" ref="B27:B27">IF(COUNTIF(B23:Y23,"&gt;=0")=0,"Нет в горизонте",COUNTIF(B23:Y23,"&lt;0")+1)</x:f>
        <x:v>13</x:v>
      </x:c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52"/>
      <x:c r="AC27" s="52"/>
    </x:row>
    <x:row r="28" ht="15" hidden="0" customHeight="1">
      <x:c r="A28" s="52" t="s">
        <x:v>267</x:v>
      </x:c>
      <x:c r="B28" s="90" t="n">
        <x:f aca="0">-MIN(B20:Y20)</x:f>
        <x:v>22608273.067214508</x:v>
      </x:c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52"/>
      <x:c r="AC28" s="52"/>
    </x:row>
    <x:row r="29" ht="15" hidden="0" customHeight="1">
      <x:c r="A29" s="52" t="s">
        <x:v>268</x:v>
      </x:c>
      <x:c r="B29" s="90" t="n">
        <x:f aca="0">Z19</x:f>
        <x:v>-3705101.082059129</x:v>
      </x:c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  <x:c r="AA29" s="52"/>
      <x:c r="AB29" s="52"/>
      <x:c r="AC29" s="52"/>
    </x:row>
    <x:row r="30" ht="15" hidden="0" customHeight="1">
      <x:c r="A30" s="52" t="s">
        <x:v>269</x:v>
      </x:c>
      <x:c r="B30" s="90" t="n">
        <x:f aca="0">AA19</x:f>
        <x:v>296767236.8984995</x:v>
      </x:c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  <x:c r="AA30" s="52"/>
      <x:c r="AB30" s="52"/>
      <x:c r="AC30" s="52"/>
    </x:row>
    <x:row r="31" ht="15" hidden="0" customHeight="1">
      <x:c r="A31" s="52" t="s">
        <x:v>270</x:v>
      </x:c>
      <x:c r="B31" s="90" t="n">
        <x:f aca="0">Y20</x:f>
        <x:v>293062135.81644034</x:v>
      </x:c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  <x:c r="AA31" s="52"/>
      <x:c r="AB31" s="52"/>
      <x:c r="AC31" s="52"/>
    </x:row>
    <x:row r="32" ht="13.5" hidden="0" customHeight="1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  <x:c r="AA32" s="52"/>
      <x:c r="AB32" s="52"/>
      <x:c r="AC32" s="52"/>
    </x:row>
    <x:row r="33" ht="13.5" hidden="0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  <x:c r="AA33" s="78"/>
      <x:c r="AB33" s="78"/>
      <x:c r="AC33" s="78"/>
    </x:row>
    <x:row r="34" ht="13.5" hidden="0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  <x:c r="AA34" s="78"/>
      <x:c r="AB34" s="78"/>
      <x:c r="AC34" s="78"/>
    </x:row>
    <x:row r="35" ht="13.5" hidden="0" customHeight="1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  <x:c r="AA35" s="52"/>
      <x:c r="AB35" s="52"/>
      <x:c r="AC35" s="52"/>
    </x:row>
    <x:row r="36" ht="13.5" hidden="0" customHeight="1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52"/>
      <x:c r="AC36" s="52"/>
    </x:row>
    <x:row r="37" ht="13.5" hidden="0" customHeight="1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52"/>
      <x:c r="AC37" s="52"/>
    </x:row>
    <x:row r="38" ht="13.5" hidden="0" customHeight="1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52"/>
      <x:c r="AC38" s="52"/>
    </x:row>
    <x:row r="39" ht="13.5" hidden="0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52"/>
      <x:c r="AC39" s="52"/>
    </x:row>
    <x:row r="40" ht="13.5" hidden="0" customHeight="1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52"/>
      <x:c r="AC40" s="52"/>
    </x:row>
    <x:row r="41" ht="13.5" hidden="0" customHeight="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52"/>
      <x:c r="AC41" s="52"/>
    </x:row>
    <x:row r="42" ht="13.5" hidden="0" customHeight="1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52"/>
      <x:c r="AC42" s="52"/>
    </x:row>
    <x:row r="43" ht="13.5" hidden="0" customHeight="1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52"/>
      <x:c r="AC43" s="52"/>
    </x:row>
    <x:row r="44" ht="13.5" hidden="0" customHeight="1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52"/>
      <x:c r="AC44" s="52"/>
    </x:row>
    <x:row r="45" ht="13.5" hidden="0" customHeight="1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52"/>
      <x:c r="AC45" s="52"/>
    </x:row>
    <x:row r="46" ht="13.5" hidden="0" customHeight="1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  <x:c r="AA46" s="52"/>
      <x:c r="AB46" s="52"/>
      <x:c r="AC46" s="52"/>
    </x:row>
    <x:row r="47" ht="13.5" hidden="0" customHeight="1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  <x:c r="AA47" s="52"/>
      <x:c r="AB47" s="52"/>
      <x:c r="AC47" s="52"/>
    </x:row>
    <x:row r="48" ht="13.5" hidden="0" customHeight="1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52"/>
      <x:c r="AC48" s="52"/>
    </x:row>
    <x:row r="49" ht="13.5" hidden="0" customHeight="1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52"/>
      <x:c r="AC49" s="52"/>
    </x:row>
    <x:row r="50" ht="13.5" hidden="0" customHeight="1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52"/>
      <x:c r="AC50" s="52"/>
    </x:row>
    <x:row r="51" ht="13.5" hidden="0" customHeight="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52"/>
      <x:c r="AC51" s="52"/>
    </x:row>
    <x:row r="52" ht="13.5" hidden="0" customHeight="1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52"/>
      <x:c r="AC52" s="52"/>
    </x:row>
    <x:row r="53" ht="13.5" hidden="0" customHeight="1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52"/>
      <x:c r="AC53" s="52"/>
    </x:row>
    <x:row r="54" ht="13.5" hidden="0" customHeight="1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52"/>
      <x:c r="AC54" s="52"/>
    </x:row>
    <x:row r="55" ht="13.5" hidden="0" customHeight="1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  <x:c r="AA55" s="52"/>
      <x:c r="AB55" s="52"/>
      <x:c r="AC55" s="52"/>
    </x:row>
  </x:sheetData>
  <x:pageMargins left="0.7" right="0.7" top="0.75" bottom="0.75" header="0.3" footer="0.3"/>
  <x:drawing xmlns:r="http://schemas.openxmlformats.org/officeDocument/2006/relationships" r:id="Rb81ea04c0d3c4d20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83203125" defaultRowHeight="15"/>
  <x:cols>
    <x:col min="1" max="1" width="42" hidden="0" customWidth="1"/>
    <x:col min="2" max="2" width="14.329999923706055" hidden="0" customWidth="1"/>
    <x:col min="3" max="5" width="12" hidden="0" customWidth="1"/>
    <x:col min="6" max="25" width="11" hidden="0" customWidth="1"/>
    <x:col min="26" max="27" width="14" hidden="0" customWidth="1"/>
    <x:col min="28" max="28" width="45" hidden="0" customWidth="1"/>
    <x:col min="29" max="29" width="30" hidden="0" customWidth="1"/>
    <x:col min="30" max="30" width="13.15999984741211" hidden="0" customWidth="1"/>
  </x:cols>
  <x:sheetData>
    <x:row r="1" ht="36.75" hidden="0" customHeight="1">
      <x:c r="A1" s="49" t="s">
        <x:v>271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2"/>
      <x:c r="AC1" s="2"/>
    </x:row>
    <x:row r="2" ht="15" hidden="0" customHeight="1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  <x:c r="Z2" s="50"/>
      <x:c r="AA2" s="50"/>
      <x:c r="AB2" s="51"/>
      <x:c r="AC2" s="51"/>
    </x:row>
    <x:row r="3" ht="13.5" hidden="0" customHeight="1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  <x:c r="AA3" s="52"/>
      <x:c r="AB3" s="52"/>
      <x:c r="AC3" s="52"/>
    </x:row>
    <x:row r="4" ht="15.75" hidden="0" customHeight="1">
      <x:c r="A4" s="67" t="s">
        <x:v>84</x:v>
      </x:c>
      <x:c r="B4" s="54" t="s">
        <x:v>120</x:v>
      </x:c>
      <x:c r="C4" s="54" t="s">
        <x:v>121</x:v>
      </x:c>
      <x:c r="D4" s="54" t="s">
        <x:v>122</x:v>
      </x:c>
      <x:c r="E4" s="54" t="s">
        <x:v>123</x:v>
      </x:c>
      <x:c r="F4" s="54" t="s">
        <x:v>124</x:v>
      </x:c>
      <x:c r="G4" s="54" t="s">
        <x:v>125</x:v>
      </x:c>
      <x:c r="H4" s="54" t="s">
        <x:v>126</x:v>
      </x:c>
      <x:c r="I4" s="54" t="s">
        <x:v>127</x:v>
      </x:c>
      <x:c r="J4" s="54" t="s">
        <x:v>128</x:v>
      </x:c>
      <x:c r="K4" s="54" t="s">
        <x:v>129</x:v>
      </x:c>
      <x:c r="L4" s="54" t="s">
        <x:v>130</x:v>
      </x:c>
      <x:c r="M4" s="54" t="s">
        <x:v>131</x:v>
      </x:c>
      <x:c r="N4" s="54" t="s">
        <x:v>132</x:v>
      </x:c>
      <x:c r="O4" s="54" t="s">
        <x:v>133</x:v>
      </x:c>
      <x:c r="P4" s="54" t="s">
        <x:v>134</x:v>
      </x:c>
      <x:c r="Q4" s="54" t="s">
        <x:v>135</x:v>
      </x:c>
      <x:c r="R4" s="54" t="s">
        <x:v>136</x:v>
      </x:c>
      <x:c r="S4" s="54" t="s">
        <x:v>137</x:v>
      </x:c>
      <x:c r="T4" s="54" t="s">
        <x:v>138</x:v>
      </x:c>
      <x:c r="U4" s="54" t="s">
        <x:v>139</x:v>
      </x:c>
      <x:c r="V4" s="54" t="s">
        <x:v>140</x:v>
      </x:c>
      <x:c r="W4" s="54" t="s">
        <x:v>141</x:v>
      </x:c>
      <x:c r="X4" s="54" t="s">
        <x:v>142</x:v>
      </x:c>
      <x:c r="Y4" s="54" t="s">
        <x:v>143</x:v>
      </x:c>
      <x:c r="Z4" s="54" t="s">
        <x:v>144</x:v>
      </x:c>
      <x:c r="AA4" s="54" t="s">
        <x:v>145</x:v>
      </x:c>
      <x:c r="AB4" s="55"/>
      <x:c r="AC4" s="55"/>
    </x:row>
    <x:row r="5" ht="13.5" hidden="0" customHeight="1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  <x:c r="AA5" s="52"/>
      <x:c r="AB5" s="52"/>
      <x:c r="AC5" s="52"/>
    </x:row>
    <x:row r="6" ht="15" hidden="0" customHeight="1">
      <x:c r="A6" s="58" t="s">
        <x:v>272</x:v>
      </x:c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8"/>
      <x:c r="AA6" s="58"/>
      <x:c r="AB6" s="59"/>
      <x:c r="AC6" s="59"/>
    </x:row>
    <x:row r="7" ht="15" hidden="0" customHeight="1">
      <x:c r="A7" s="52" t="s">
        <x:v>259</x:v>
      </x:c>
      <x:c r="B7" s="69" t="n">
        <x:f aca="0">'Cash Flow'!B19</x:f>
        <x:v>-11239667.230518864</x:v>
      </x:c>
      <x:c r="C7" s="69" t="n">
        <x:f aca="0">'Cash Flow'!C19</x:f>
        <x:v>-3053969.4624272445</x:v>
      </x:c>
      <x:c r="D7" s="69" t="n">
        <x:f aca="0">'Cash Flow'!D19</x:f>
        <x:v>-2860679.233408834</x:v>
      </x:c>
      <x:c r="E7" s="69" t="n">
        <x:f aca="0">'Cash Flow'!E19</x:f>
        <x:v>-2433683.5581016038</x:v>
      </x:c>
      <x:c r="F7" s="69" t="n">
        <x:f aca="0">'Cash Flow'!F19</x:f>
        <x:v>-1774497.5141802158</x:v>
      </x:c>
      <x:c r="G7" s="69" t="n">
        <x:f aca="0">'Cash Flow'!G19</x:f>
        <x:v>-883890.2579367175</x:v>
      </x:c>
      <x:c r="H7" s="69" t="n">
        <x:f aca="0">'Cash Flow'!H19</x:f>
        <x:v>-361885.8106410298</x:v>
      </x:c>
      <x:c r="I7" s="69" t="n">
        <x:f aca="0">'Cash Flow'!I19</x:f>
        <x:v>860457.3306896652</x:v>
      </x:c>
      <x:c r="J7" s="69" t="n">
        <x:f aca="0">'Cash Flow'!J19</x:f>
        <x:v>2130630.4720008858</x:v>
      </x:c>
      <x:c r="K7" s="69" t="n">
        <x:f aca="0">'Cash Flow'!K19</x:f>
        <x:v>3589460.191590589</x:v>
      </x:c>
      <x:c r="L7" s="69" t="n">
        <x:f aca="0">'Cash Flow'!L19</x:f>
        <x:v>5239340.279636162</x:v>
      </x:c>
      <x:c r="M7" s="69" t="n">
        <x:f aca="0">'Cash Flow'!M19</x:f>
        <x:v>7083283.711238076</x:v>
      </x:c>
      <x:c r="N7" s="69" t="n">
        <x:f aca="0">'Cash Flow'!N19</x:f>
        <x:v>8073254.07887423</x:v>
      </x:c>
      <x:c r="O7" s="69" t="n">
        <x:f aca="0">'Cash Flow'!O19</x:f>
        <x:v>10460763.146809561</x:v>
      </x:c>
      <x:c r="P7" s="69" t="n">
        <x:f aca="0">'Cash Flow'!P19</x:f>
        <x:v>13053449.068248719</x:v>
      </x:c>
      <x:c r="Q7" s="69" t="n">
        <x:f aca="0">'Cash Flow'!Q19</x:f>
        <x:v>15844844.114486212</x:v>
      </x:c>
      <x:c r="R7" s="69" t="n">
        <x:f aca="0">'Cash Flow'!R19</x:f>
        <x:v>18828979.173669107</x:v>
      </x:c>
      <x:c r="S7" s="69" t="n">
        <x:f aca="0">'Cash Flow'!S19</x:f>
        <x:v>22000361.400427707</x:v>
      </x:c>
      <x:c r="T7" s="69" t="n">
        <x:f aca="0">'Cash Flow'!T19</x:f>
        <x:v>25353953.108911183</x:v>
      </x:c>
      <x:c r="U7" s="69" t="n">
        <x:f aca="0">'Cash Flow'!U19</x:f>
        <x:v>28885151.84679712</x:v>
      </x:c>
      <x:c r="V7" s="69" t="n">
        <x:f aca="0">'Cash Flow'!V19</x:f>
        <x:v>32589771.59120364</x:v>
      </x:c>
      <x:c r="W7" s="69" t="n">
        <x:f aca="0">'Cash Flow'!W19</x:f>
        <x:v>36464025.01061177</x:v>
      </x:c>
      <x:c r="X7" s="69" t="n">
        <x:f aca="0">'Cash Flow'!X19</x:f>
        <x:v>40504506.73991332</x:v>
      </x:c>
      <x:c r="Y7" s="69" t="n">
        <x:f aca="0">'Cash Flow'!Y19</x:f>
        <x:v>44708177.61854693</x:v>
      </x:c>
      <x:c r="Z7" s="90" t="n">
        <x:f aca="0">SUM(B7:M7)</x:f>
        <x:v>-3705101.082059129</x:v>
      </x:c>
      <x:c r="AA7" s="90" t="n">
        <x:f aca="0">SUM(N7:Y7)</x:f>
        <x:v>296767236.8984995</x:v>
      </x:c>
      <x:c r="AB7" s="52"/>
      <x:c r="AC7" s="52"/>
    </x:row>
    <x:row r="8" ht="15" hidden="0" customHeight="1">
      <x:c r="A8" s="52" t="s">
        <x:v>273</x:v>
      </x:c>
      <x:c r="B8" s="95" t="n">
        <x:f aca="0">'Cash Flow'!B21</x:f>
        <x:v>0.984921375260889</x:v>
      </x:c>
      <x:c r="C8" s="95" t="n">
        <x:f aca="0">'Cash Flow'!C21</x:f>
        <x:v>0.9700701154458005</x:v>
      </x:c>
      <x:c r="D8" s="95" t="n">
        <x:f aca="0">'Cash Flow'!D21</x:f>
        <x:v>0.9554427922043668</x:v>
      </x:c>
      <x:c r="E8" s="95" t="n">
        <x:f aca="0">'Cash Flow'!E21</x:f>
        <x:v>0.9410360288810284</x:v>
      </x:c>
      <x:c r="F8" s="95" t="n">
        <x:f aca="0">'Cash Flow'!F21</x:f>
        <x:v>0.926846499735548</x:v>
      </x:c>
      <x:c r="G8" s="95" t="n">
        <x:f aca="0">'Cash Flow'!G21</x:f>
        <x:v>0.9128709291752769</x:v>
      </x:c>
      <x:c r="H8" s="95" t="n">
        <x:f aca="0">'Cash Flow'!H21</x:f>
        <x:v>0.899106090998999</x:v>
      </x:c>
      <x:c r="I8" s="95" t="n">
        <x:f aca="0">'Cash Flow'!I21</x:f>
        <x:v>0.8855488076521759</x:v>
      </x:c>
      <x:c r="J8" s="95" t="n">
        <x:f aca="0">'Cash Flow'!J21</x:f>
        <x:v>0.8721959494934213</x:v>
      </x:c>
      <x:c r="K8" s="95" t="n">
        <x:f aca="0">'Cash Flow'!K21</x:f>
        <x:v>0.8590444340720371</x:v>
      </x:c>
      <x:c r="L8" s="95" t="n">
        <x:f aca="0">'Cash Flow'!L21</x:f>
        <x:v>0.8460912254164427</x:v>
      </x:c>
      <x:c r="M8" s="95" t="n">
        <x:f aca="0">'Cash Flow'!M21</x:f>
        <x:v>0.8333333333333334</x:v>
      </x:c>
      <x:c r="N8" s="95" t="n">
        <x:f aca="0">'Cash Flow'!N21</x:f>
        <x:v>0.8207678127174073</x:v>
      </x:c>
      <x:c r="O8" s="95" t="n">
        <x:f aca="0">'Cash Flow'!O21</x:f>
        <x:v>0.8083917628715004</x:v>
      </x:c>
      <x:c r="P8" s="95" t="n">
        <x:f aca="0">'Cash Flow'!P21</x:f>
        <x:v>0.7962023268369725</x:v>
      </x:c>
      <x:c r="Q8" s="95" t="n">
        <x:f aca="0">'Cash Flow'!Q21</x:f>
        <x:v>0.7841966907341904</x:v>
      </x:c>
      <x:c r="R8" s="95" t="n">
        <x:f aca="0">'Cash Flow'!R21</x:f>
        <x:v>0.7723720831129566</x:v>
      </x:c>
      <x:c r="S8" s="95" t="n">
        <x:f aca="0">'Cash Flow'!S21</x:f>
        <x:v>0.7607257743127308</x:v>
      </x:c>
      <x:c r="T8" s="95" t="n">
        <x:f aca="0">'Cash Flow'!T21</x:f>
        <x:v>0.7492550758324993</x:v>
      </x:c>
      <x:c r="U8" s="95" t="n">
        <x:f aca="0">'Cash Flow'!U21</x:f>
        <x:v>0.7379573397101465</x:v>
      </x:c>
      <x:c r="V8" s="95" t="n">
        <x:f aca="0">'Cash Flow'!V21</x:f>
        <x:v>0.7268299579111844</x:v>
      </x:c>
      <x:c r="W8" s="95" t="n">
        <x:f aca="0">'Cash Flow'!W21</x:f>
        <x:v>0.7158703617266977</x:v>
      </x:c>
      <x:c r="X8" s="95" t="n">
        <x:f aca="0">'Cash Flow'!X21</x:f>
        <x:v>0.7050760211803689</x:v>
      </x:c>
      <x:c r="Y8" s="95" t="n">
        <x:f aca="0">'Cash Flow'!Y21</x:f>
        <x:v>0.6944444444444444</x:v>
      </x:c>
      <x:c r="Z8" s="96" t="n">
        <x:f aca="0">AVERAGE(B8:M8)</x:f>
        <x:v>0.9072089651391101</x:v>
      </x:c>
      <x:c r="AA8" s="96" t="n">
        <x:f aca="0">AVERAGE(N8:Y8)</x:f>
        <x:v>0.7560074709492585</x:v>
      </x:c>
      <x:c r="AB8" s="52"/>
      <x:c r="AC8" s="52"/>
    </x:row>
    <x:row r="9" ht="15.75" hidden="0" customHeight="1">
      <x:c r="A9" s="71" t="s">
        <x:v>274</x:v>
      </x:c>
      <x:c r="B9" s="72" t="n">
        <x:f aca="0">B7*B8</x:f>
        <x:v>-11070188.506157387</x:v>
      </x:c>
      <x:c r="C9" s="72" t="n">
        <x:f aca="0">C7*C8</x:f>
        <x:v>-2962564.5089847464</x:v>
      </x:c>
      <x:c r="D9" s="72" t="n">
        <x:f aca="0">D7*D8</x:f>
        <x:v>-2733215.3543691835</x:v>
      </x:c>
      <x:c r="E9" s="72" t="n">
        <x:f aca="0">E7*E8</x:f>
        <x:v>-2290183.911068985</x:v>
      </x:c>
      <x:c r="F9" s="72" t="n">
        <x:f aca="0">F7*F8</x:f>
        <x:v>-1644686.809807364</x:v>
      </x:c>
      <x:c r="G9" s="72" t="n">
        <x:f aca="0">G7*G8</x:f>
        <x:v>-806877.7210516664</x:v>
      </x:c>
      <x:c r="H9" s="72" t="n">
        <x:f aca="0">H7*H8</x:f>
        <x:v>-325373.73659346026</x:v>
      </x:c>
      <x:c r="I9" s="72" t="n">
        <x:f aca="0">I7*I8</x:f>
        <x:v>761976.9632278071</x:v>
      </x:c>
      <x:c r="J9" s="72" t="n">
        <x:f aca="0">J7*J8</x:f>
        <x:v>1858327.2675464288</x:v>
      </x:c>
      <x:c r="K9" s="72" t="n">
        <x:f aca="0">K7*K8</x:f>
        <x:v>3083505.7989090434</x:v>
      </x:c>
      <x:c r="L9" s="72" t="n">
        <x:f aca="0">L7*L8</x:f>
        <x:v>4432959.837571088</x:v>
      </x:c>
      <x:c r="M9" s="72" t="n">
        <x:f aca="0">M7*M8</x:f>
        <x:v>5902736.42603173</x:v>
      </x:c>
      <x:c r="N9" s="72" t="n">
        <x:f aca="0">N7*N8</x:f>
        <x:v>6626267.091829489</x:v>
      </x:c>
      <x:c r="O9" s="72" t="n">
        <x:f aca="0">O7*O8</x:f>
        <x:v>8456394.761230605</x:v>
      </x:c>
      <x:c r="P9" s="72" t="n">
        <x:f aca="0">P7*P8</x:f>
        <x:v>10393186.52138754</x:v>
      </x:c>
      <x:c r="Q9" s="72" t="n">
        <x:f aca="0">Q7*Q8</x:f>
        <x:v>12425474.3197792</x:v>
      </x:c>
      <x:c r="R9" s="72" t="n">
        <x:f aca="0">R7*R8</x:f>
        <x:v>14542977.867257284</x:v>
      </x:c>
      <x:c r="S9" s="72" t="n">
        <x:f aca="0">S7*S8</x:f>
        <x:v>16736241.961500281</x:v>
      </x:c>
      <x:c r="T9" s="72" t="n">
        <x:f aca="0">T7*T8</x:f>
        <x:v>18996578.059270877</x:v>
      </x:c>
      <x:c r="U9" s="72" t="n">
        <x:f aca="0">U7*U8</x:f>
        <x:v>21316009.81398603</x:v>
      </x:c>
      <x:c r="V9" s="72" t="n">
        <x:f aca="0">V7*V8</x:f>
        <x:v>23687222.313969657</x:v>
      </x:c>
      <x:c r="W9" s="72" t="n">
        <x:f aca="0">W7*W8</x:f>
        <x:v>26103514.774358</x:v>
      </x:c>
      <x:c r="X9" s="72" t="n">
        <x:f aca="0">X7*X8</x:f>
        <x:v>28558756.45205152</x:v>
      </x:c>
      <x:c r="Y9" s="72" t="n">
        <x:f aca="0">Y7*Y8</x:f>
        <x:v>31047345.568435367</x:v>
      </x:c>
      <x:c r="Z9" s="72" t="n">
        <x:f aca="0">SUM(B9:M9)</x:f>
        <x:v>-5793584.254746689</x:v>
      </x:c>
      <x:c r="AA9" s="72" t="n">
        <x:f aca="0">SUM(N9:Y9)</x:f>
        <x:v>218889969.50505584</x:v>
      </x:c>
      <x:c r="AB9" s="52"/>
      <x:c r="AC9" s="52"/>
    </x:row>
    <x:row r="10" ht="13.5" hidden="0" customHeight="1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  <x:c r="AA10" s="52"/>
      <x:c r="AB10" s="52"/>
      <x:c r="AC10" s="52"/>
    </x:row>
    <x:row r="11" ht="15" hidden="0" customHeight="1">
      <x:c r="A11" s="58" t="s">
        <x:v>275</x:v>
      </x:c>
      <x:c r="B11" s="58"/>
      <x:c r="C11" s="58"/>
      <x:c r="D11" s="58"/>
      <x:c r="E11" s="58"/>
      <x:c r="F11" s="58"/>
      <x:c r="G11" s="58"/>
      <x:c r="H11" s="58"/>
      <x:c r="I11" s="58"/>
      <x:c r="J11" s="58"/>
      <x:c r="K11" s="58"/>
      <x:c r="L11" s="58"/>
      <x:c r="M11" s="58"/>
      <x:c r="N11" s="58"/>
      <x:c r="O11" s="58"/>
      <x:c r="P11" s="58"/>
      <x:c r="Q11" s="58"/>
      <x:c r="R11" s="58"/>
      <x:c r="S11" s="58"/>
      <x:c r="T11" s="58"/>
      <x:c r="U11" s="58"/>
      <x:c r="V11" s="58"/>
      <x:c r="W11" s="58"/>
      <x:c r="X11" s="58"/>
      <x:c r="Y11" s="58"/>
      <x:c r="Z11" s="58"/>
      <x:c r="AA11" s="58"/>
      <x:c r="AB11" s="59"/>
      <x:c r="AC11" s="59"/>
    </x:row>
    <x:row r="12" ht="15" hidden="0" customHeight="1">
      <x:c r="A12" s="52" t="s">
        <x:v>269</x:v>
      </x:c>
      <x:c r="B12" s="69" t="n">
        <x:f aca="0">'Cash Flow'!$AA$19</x:f>
        <x:v>296767236.8984995</x:v>
      </x:c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</x:row>
    <x:row r="13" ht="15" hidden="0" customHeight="1">
      <x:c r="A13" s="52" t="s">
        <x:v>101</x:v>
      </x:c>
      <x:c r="B13" s="79" t="n">
        <x:f aca="0">Assumptions!$C$85</x:f>
        <x:v>0.05</x:v>
      </x:c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</x:row>
    <x:row r="14" ht="15" hidden="0" customHeight="1">
      <x:c r="A14" s="52" t="s">
        <x:v>276</x:v>
      </x:c>
      <x:c r="B14" s="79" t="n">
        <x:f aca="0">Assumptions!$B$73</x:f>
        <x:v>0.2</x:v>
      </x:c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</x:row>
    <x:row r="15" ht="15" hidden="0" customHeight="1">
      <x:c r="A15" s="52" t="s">
        <x:v>277</x:v>
      </x:c>
      <x:c r="B15" s="90" t="n">
        <x:f aca="0">B12*(1+B13)/(B14-B13)</x:f>
        <x:v>2077370658.2894962</x:v>
      </x:c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</x:row>
    <x:row r="16" ht="15" hidden="0" customHeight="1">
      <x:c r="A16" s="52" t="s">
        <x:v>278</x:v>
      </x:c>
      <x:c r="B16" s="95" t="n">
        <x:f aca="0">'Cash Flow'!$Y$21</x:f>
        <x:v>0.6944444444444444</x:v>
      </x:c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  <x:c r="AA16" s="52"/>
      <x:c r="AB16" s="52"/>
      <x:c r="AC16" s="52"/>
    </x:row>
    <x:row r="17" ht="15.75" hidden="0" customHeight="1">
      <x:c r="A17" s="71" t="s">
        <x:v>279</x:v>
      </x:c>
      <x:c r="B17" s="72" t="n">
        <x:f aca="0">B15*B16</x:f>
        <x:v>1442618512.701039</x:v>
      </x:c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  <x:c r="AA17" s="71"/>
      <x:c r="AB17" s="52"/>
      <x:c r="AC17" s="52"/>
    </x:row>
    <x:row r="18" ht="13.5" hidden="0" customHeight="1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  <x:c r="AA18" s="52"/>
      <x:c r="AB18" s="52"/>
      <x:c r="AC18" s="52"/>
    </x:row>
    <x:row r="19" ht="15" hidden="0" customHeight="1">
      <x:c r="A19" s="58" t="s">
        <x:v>280</x:v>
      </x:c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  <x:c r="O19" s="58"/>
      <x:c r="P19" s="58"/>
      <x:c r="Q19" s="58"/>
      <x:c r="R19" s="58"/>
      <x:c r="S19" s="58"/>
      <x:c r="T19" s="58"/>
      <x:c r="U19" s="58"/>
      <x:c r="V19" s="58"/>
      <x:c r="W19" s="58"/>
      <x:c r="X19" s="58"/>
      <x:c r="Y19" s="58"/>
      <x:c r="Z19" s="58"/>
      <x:c r="AA19" s="58"/>
      <x:c r="AB19" s="59"/>
      <x:c r="AC19" s="59"/>
    </x:row>
    <x:row r="20" ht="15" hidden="0" customHeight="1">
      <x:c r="A20" s="52" t="s">
        <x:v>281</x:v>
      </x:c>
      <x:c r="B20" s="69" t="n">
        <x:f aca="0">'Cash Flow'!$Z$22+'Cash Flow'!$AA$22</x:f>
        <x:v>213096385.25030917</x:v>
      </x:c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  <x:c r="AA20" s="52"/>
      <x:c r="AB20" s="52"/>
      <x:c r="AC20" s="52"/>
    </x:row>
    <x:row r="21" ht="15" hidden="0" customHeight="1">
      <x:c r="A21" s="52" t="s">
        <x:v>279</x:v>
      </x:c>
      <x:c r="B21" s="90" t="n">
        <x:f aca="0">B17</x:f>
        <x:v>1442618512.701039</x:v>
      </x:c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  <x:c r="AA21" s="52"/>
      <x:c r="AB21" s="52"/>
      <x:c r="AC21" s="52"/>
    </x:row>
    <x:row r="22" ht="15.75" hidden="0" customHeight="1">
      <x:c r="A22" s="71" t="s">
        <x:v>282</x:v>
      </x:c>
      <x:c r="B22" s="72" t="n">
        <x:f aca="0">SUM(B20:B21)</x:f>
        <x:v>1655714897.9513483</x:v>
      </x:c>
      <x:c r="C22" s="71"/>
      <x:c r="D22" s="71"/>
      <x:c r="E22" s="71"/>
      <x:c r="F22" s="71"/>
      <x:c r="G22" s="71"/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  <x:c r="AA22" s="71"/>
      <x:c r="AB22" s="52"/>
      <x:c r="AC22" s="52"/>
    </x:row>
    <x:row r="23" ht="15" hidden="0" customHeight="1">
      <x:c r="A23" s="52" t="s">
        <x:v>283</x:v>
      </x:c>
      <x:c r="B23" s="88" t="n">
        <x:f aca="0">IFERROR(B21/B22,0)</x:f>
        <x:v>0.8712964499419689</x:v>
      </x:c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  <x:c r="AA23" s="52"/>
      <x:c r="AB23" s="52"/>
      <x:c r="AC23" s="52"/>
    </x:row>
    <x:row r="24" ht="15" hidden="0" customHeight="1">
      <x:c r="A24" s="52" t="s">
        <x:v>284</x:v>
      </x:c>
      <x:c r="B24" s="98" t="n">
        <x:f aca="0">IF(COUNTIF('Cash Flow'!B20:Y20,"&gt;=0")=0,"Нет в горизонте",COUNTIF('Cash Flow'!B20:Y20,"&lt;0")+1)</x:f>
        <x:v>13</x:v>
      </x:c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  <x:c r="AA24" s="52"/>
      <x:c r="AB24" s="52"/>
      <x:c r="AC24" s="52"/>
    </x:row>
    <x:row r="25" ht="15" hidden="0" customHeight="1">
      <x:c r="A25" s="52" t="s">
        <x:v>266</x:v>
      </x:c>
      <x:c r="B25" s="98" t="n">
        <x:f aca="0">IF(COUNTIF('Cash Flow'!B23:Y23,"&gt;=0")=0,"Нет в горизонте",COUNTIF('Cash Flow'!B23:Y23,"&lt;0")+1)</x:f>
        <x:v>13</x:v>
      </x:c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  <x:c r="AA25" s="52"/>
      <x:c r="AB25" s="52"/>
      <x:c r="AC25" s="52"/>
    </x:row>
    <x:row r="26" ht="15" hidden="0" customHeight="1">
      <x:c r="A26" s="52" t="s">
        <x:v>285</x:v>
      </x:c>
      <x:c r="B26" s="88" t="n">
        <x:f aca="0">IRR('Cash Flow'!B19:Y19)</x:f>
        <x:v>0.17779900649540942</x:v>
      </x:c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  <x:c r="AA26" s="52"/>
      <x:c r="AB26" s="52"/>
      <x:c r="AC26" s="52"/>
    </x:row>
    <x:row r="27" ht="15" hidden="0" customHeight="1">
      <x:c r="A27" s="52" t="s">
        <x:v>286</x:v>
      </x:c>
      <x:c r="B27" s="88" t="n">
        <x:f aca="0">(1+B26)^12-1</x:f>
        <x:v>6.126137596146979</x:v>
      </x:c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52"/>
      <x:c r="AC27" s="52"/>
    </x:row>
    <x:row r="28" ht="13.5" hidden="0" customHeight="1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52"/>
      <x:c r="AC28" s="52"/>
      <x:c r="AD28" s="99"/>
      <x:c r="AE28" s="99"/>
    </x:row>
    <x:row r="29" ht="13.5" hidden="0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  <x:c r="AA29" s="78"/>
      <x:c r="AB29" s="78"/>
      <x:c r="AC29" s="78"/>
      <x:c r="AD29" s="99"/>
      <x:c r="AE29" s="99"/>
    </x:row>
    <x:row r="30" ht="13.5" hidden="0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  <x:c r="AA30" s="78"/>
      <x:c r="AB30" s="78"/>
      <x:c r="AC30" s="78"/>
      <x:c r="AD30" s="99"/>
      <x:c r="AE30" s="99"/>
    </x:row>
    <x:row r="31" ht="13.5" hidden="0" customHeight="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  <x:c r="AA31" s="52"/>
      <x:c r="AB31" s="100" t="s">
        <x:v>84</x:v>
      </x:c>
      <x:c r="AC31" s="100" t="s">
        <x:v>287</x:v>
      </x:c>
      <x:c r="AD31" s="101" t="s">
        <x:v>288</x:v>
      </x:c>
      <x:c r="AE31" s="99"/>
    </x:row>
    <x:row r="32" ht="13.5" hidden="0" customHeight="1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  <x:c r="AA32" s="52"/>
      <x:c r="AB32" s="102" t="s">
        <x:v>282</x:v>
      </x:c>
      <x:c r="AC32" s="103" t="n">
        <x:f aca="0">$B$20</x:f>
        <x:v>213096385.25030917</x:v>
      </x:c>
      <x:c r="AD32" s="104" t="n">
        <x:f aca="0">$B$21</x:f>
        <x:v>1442618512.701039</x:v>
      </x:c>
      <x:c r="AE32" s="99"/>
    </x:row>
    <x:row r="33" ht="13.5" hidden="0" customHeight="1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  <x:c r="AA33" s="52"/>
      <x:c r="AB33" s="105"/>
      <x:c r="AC33" s="105"/>
      <x:c r="AD33" s="99"/>
      <x:c r="AE33" s="99"/>
    </x:row>
    <x:row r="34" ht="13.5" hidden="0" customHeight="1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  <x:c r="AA34" s="52"/>
      <x:c r="AB34" s="105"/>
      <x:c r="AC34" s="105"/>
      <x:c r="AD34" s="99"/>
      <x:c r="AE34" s="99"/>
    </x:row>
    <x:row r="35" ht="13.5" hidden="0" customHeight="1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  <x:c r="AA35" s="52"/>
      <x:c r="AB35" s="105"/>
      <x:c r="AC35" s="105"/>
    </x:row>
    <x:row r="36" ht="13.5" hidden="0" customHeight="1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52"/>
      <x:c r="AC36" s="52"/>
    </x:row>
    <x:row r="37" ht="13.5" hidden="0" customHeight="1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52"/>
      <x:c r="AC37" s="52"/>
    </x:row>
    <x:row r="38" ht="13.5" hidden="0" customHeight="1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52"/>
      <x:c r="AC38" s="52"/>
    </x:row>
    <x:row r="39" ht="13.5" hidden="0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52"/>
      <x:c r="AC39" s="52"/>
    </x:row>
    <x:row r="40" ht="13.5" hidden="0" customHeight="1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52"/>
      <x:c r="AC40" s="52"/>
    </x:row>
    <x:row r="41" ht="13.5" hidden="0" customHeight="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52"/>
      <x:c r="AC41" s="52"/>
    </x:row>
    <x:row r="42" ht="13.5" hidden="0" customHeight="1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52"/>
      <x:c r="AC42" s="52"/>
    </x:row>
    <x:row r="43" ht="13.5" hidden="0" customHeight="1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52"/>
      <x:c r="AC43" s="52"/>
    </x:row>
    <x:row r="44" ht="13.5" hidden="0" customHeight="1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52"/>
      <x:c r="AC44" s="52"/>
    </x:row>
    <x:row r="45" ht="13.5" hidden="0" customHeight="1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52"/>
      <x:c r="AC45" s="52"/>
    </x:row>
    <x:row r="46" ht="13.5" hidden="0" customHeight="1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  <x:c r="AA46" s="52"/>
      <x:c r="AB46" s="52"/>
      <x:c r="AC46" s="52"/>
    </x:row>
    <x:row r="47" ht="13.5" hidden="0" customHeight="1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  <x:c r="AA47" s="52"/>
      <x:c r="AB47" s="52"/>
      <x:c r="AC47" s="52"/>
    </x:row>
    <x:row r="48" ht="13.5" hidden="0" customHeight="1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52"/>
      <x:c r="AC48" s="52"/>
    </x:row>
    <x:row r="49" ht="13.5" hidden="0" customHeight="1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52"/>
      <x:c r="AC49" s="52"/>
    </x:row>
    <x:row r="50" ht="13.5" hidden="0" customHeight="1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52"/>
      <x:c r="AC50" s="52"/>
    </x:row>
    <x:row r="51" ht="13.5" hidden="0" customHeight="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52"/>
      <x:c r="AC51" s="52"/>
    </x:row>
    <x:row r="52" ht="13.5" hidden="0" customHeight="1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52"/>
      <x:c r="AC52" s="52"/>
    </x:row>
    <x:row r="53" ht="13.5" hidden="0" customHeight="1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52"/>
      <x:c r="AC53" s="52"/>
    </x:row>
    <x:row r="54" ht="13.5" hidden="0" customHeight="1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52"/>
      <x:c r="AC54" s="52"/>
    </x:row>
    <x:row r="55" ht="13.5" hidden="0" customHeight="1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  <x:c r="AA55" s="52"/>
      <x:c r="AB55" s="52"/>
      <x:c r="AC55" s="52"/>
    </x:row>
  </x:sheetData>
  <x:pageMargins left="0.7" right="0.7" top="0.75" bottom="0.75" header="0.3" footer="0.3"/>
  <x:drawing xmlns:r="http://schemas.openxmlformats.org/officeDocument/2006/relationships" r:id="R31acfb24a22d415c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8.83203125" defaultRowHeight="15"/>
  <x:cols>
    <x:col min="1" max="1" width="36" hidden="0" customWidth="1"/>
    <x:col min="2" max="4" width="14" hidden="0" customWidth="1"/>
    <x:col min="5" max="5" width="11" hidden="0" customWidth="1"/>
    <x:col min="6" max="6" width="22" hidden="0" customWidth="1"/>
    <x:col min="7" max="25" width="11" hidden="0" customWidth="1"/>
    <x:col min="26" max="27" width="14" hidden="0" customWidth="1"/>
    <x:col min="28" max="29" width="3" hidden="0" customWidth="1"/>
  </x:cols>
  <x:sheetData>
    <x:row r="1" ht="36.75" hidden="0" customHeight="1">
      <x:c r="A1" s="106" t="s">
        <x:v>289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  <x:c r="AA1" s="106"/>
      <x:c r="AB1" s="106"/>
      <x:c r="AC1" s="106"/>
      <x:c r="AE1" s="153" t="str">
        <x:v>Данные для графиков</x:v>
      </x:c>
      <x:c r="AF1" s="153"/>
      <x:c r="AG1" s="153"/>
      <x:c r="AH1" s="153"/>
    </x:row>
    <x:row r="2" ht="30" hidden="0" customHeight="1">
      <x:c r="A2" s="66"/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  <x:c r="S2" s="66"/>
      <x:c r="T2" s="66"/>
      <x:c r="U2" s="66"/>
      <x:c r="V2" s="66"/>
      <x:c r="W2" s="66"/>
      <x:c r="X2" s="66"/>
      <x:c r="Y2" s="66"/>
      <x:c r="Z2" s="66"/>
      <x:c r="AA2" s="66"/>
      <x:c r="AB2" s="66"/>
      <x:c r="AC2" s="66"/>
      <x:c r="AE2" s="153" t="str">
        <x:f>'Scenarios'!A15</x:f>
        <x:v>Показатель</x:v>
      </x:c>
      <x:c r="AF2" s="153" t="str">
        <x:f>'Scenarios'!B15</x:f>
        <x:v>Пессимистичный</x:v>
      </x:c>
      <x:c r="AG2" s="153" t="str">
        <x:f>'Scenarios'!C15</x:f>
        <x:v>Базовый</x:v>
      </x:c>
      <x:c r="AH2" s="153" t="str">
        <x:f>'Scenarios'!D15</x:f>
        <x:v>Оптимистичный</x:v>
      </x:c>
    </x:row>
    <x:row r="3" ht="13.5" hidden="0" customHeight="1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107"/>
      <x:c r="S3" s="107"/>
      <x:c r="T3" s="107"/>
      <x:c r="U3" s="107"/>
      <x:c r="V3" s="107"/>
      <x:c r="W3" s="107"/>
      <x:c r="X3" s="107"/>
      <x:c r="Y3" s="107"/>
      <x:c r="Z3" s="107"/>
      <x:c r="AA3" s="107"/>
      <x:c r="AB3" s="107"/>
      <x:c r="AC3" s="107"/>
      <x:c r="AE3" s="153" t="str">
        <x:f>'Scenarios'!A20</x:f>
        <x:v>EBITDA — Год 1</x:v>
      </x:c>
      <x:c r="AF3" s="153" t="n">
        <x:f>'Scenarios'!B20</x:f>
        <x:v>-18261872.070533603</x:v>
      </x:c>
      <x:c r="AG3" s="153" t="n">
        <x:f>'Scenarios'!C20</x:f>
        <x:v>8604025.24756305</x:v>
      </x:c>
      <x:c r="AH3" s="153" t="n">
        <x:f>'Scenarios'!D20</x:f>
        <x:v>35469922.5656597</x:v>
      </x:c>
    </x:row>
    <x:row r="4" ht="19.5" hidden="0" customHeight="1">
      <x:c r="A4" s="108" t="s">
        <x:v>290</x:v>
      </x:c>
      <x:c r="B4" s="108"/>
      <x:c r="C4" s="108"/>
      <x:c r="D4" s="108"/>
      <x:c r="E4" s="108"/>
      <x:c r="F4" s="108"/>
      <x:c r="G4" s="108"/>
      <x:c r="H4" s="108"/>
      <x:c r="I4" s="108"/>
      <x:c r="J4" s="108"/>
      <x:c r="K4" s="108"/>
      <x:c r="L4" s="108"/>
      <x:c r="M4" s="108"/>
      <x:c r="N4" s="108"/>
      <x:c r="O4" s="108"/>
      <x:c r="P4" s="108"/>
      <x:c r="Q4" s="108"/>
      <x:c r="R4" s="108"/>
      <x:c r="S4" s="108"/>
      <x:c r="T4" s="108"/>
      <x:c r="U4" s="108"/>
      <x:c r="V4" s="108"/>
      <x:c r="W4" s="108"/>
      <x:c r="X4" s="108"/>
      <x:c r="Y4" s="108"/>
      <x:c r="Z4" s="108"/>
      <x:c r="AA4" s="108"/>
      <x:c r="AB4" s="108"/>
      <x:c r="AC4" s="108"/>
      <x:c r="AE4" s="153" t="str">
        <x:f>'Scenarios'!A22</x:f>
        <x:v>FCF — Год 1</x:v>
      </x:c>
      <x:c r="AF4" s="153" t="n">
        <x:f>'Scenarios'!B22</x:f>
        <x:v>-28453837.36997087</x:v>
      </x:c>
      <x:c r="AG4" s="153" t="n">
        <x:f>'Scenarios'!C22</x:f>
        <x:v>-3705101.082059129</x:v>
      </x:c>
      <x:c r="AH4" s="153" t="n">
        <x:f>'Scenarios'!D22</x:f>
        <x:v>20112263.637056552</x:v>
      </x:c>
    </x:row>
    <x:row r="5" ht="24" hidden="0" customHeight="1">
      <x:c r="A5" s="53" t="s">
        <x:v>84</x:v>
      </x:c>
      <x:c r="B5" s="67" t="s">
        <x:v>85</x:v>
      </x:c>
      <x:c r="C5" s="67" t="s">
        <x:v>86</x:v>
      </x:c>
      <x:c r="D5" s="67" t="s">
        <x:v>87</x:v>
      </x:c>
      <x:c r="E5" s="74"/>
      <x:c r="F5" s="67" t="s">
        <x:v>291</x:v>
      </x:c>
      <x:c r="G5" s="109"/>
      <x:c r="H5" s="109"/>
      <x:c r="I5" s="109"/>
      <x:c r="J5" s="74"/>
      <x:c r="K5" s="74"/>
      <x:c r="L5" s="74"/>
      <x:c r="M5" s="74"/>
      <x:c r="N5" s="74"/>
      <x:c r="O5" s="74"/>
      <x:c r="P5" s="74"/>
      <x:c r="Q5" s="74"/>
      <x:c r="R5" s="107"/>
      <x:c r="S5" s="107"/>
      <x:c r="T5" s="107"/>
      <x:c r="U5" s="107"/>
      <x:c r="V5" s="107"/>
      <x:c r="W5" s="107"/>
      <x:c r="X5" s="107"/>
      <x:c r="Y5" s="107"/>
      <x:c r="Z5" s="107"/>
      <x:c r="AA5" s="107"/>
      <x:c r="AB5" s="107"/>
      <x:c r="AC5" s="107"/>
      <x:c r="AE5" s="153" t="str">
        <x:f>'Scenarios'!A26</x:f>
        <x:v>Enterprise Value</x:v>
      </x:c>
      <x:c r="AF5" s="153" t="n">
        <x:f>'Scenarios'!B26</x:f>
        <x:v>836171017.8987226</x:v>
      </x:c>
      <x:c r="AG5" s="153" t="n">
        <x:f>'Scenarios'!C26</x:f>
        <x:v>1655714897.9513483</x:v>
      </x:c>
      <x:c r="AH5" s="153" t="n">
        <x:f>'Scenarios'!D26</x:f>
        <x:v>2718067570.453726</x:v>
      </x:c>
    </x:row>
    <x:row r="6" ht="18" hidden="0" customHeight="1">
      <x:c r="A6" s="110" t="s">
        <x:v>89</x:v>
      </x:c>
      <x:c r="B6" s="111" t="n">
        <x:f aca="0">Assumptions!B79</x:f>
        <x:v>0.7</x:v>
      </x:c>
      <x:c r="C6" s="111" t="n">
        <x:f aca="0">Assumptions!C79</x:f>
        <x:v>1</x:v>
      </x:c>
      <x:c r="D6" s="111" t="n">
        <x:f aca="0">Assumptions!D79</x:f>
        <x:v>1.3</x:v>
      </x:c>
      <x:c r="E6" s="74"/>
      <x:c r="F6" s="112" t="s">
        <x:v>292</x:v>
      </x:c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107"/>
      <x:c r="S6" s="107"/>
      <x:c r="T6" s="107"/>
      <x:c r="U6" s="107"/>
      <x:c r="V6" s="107"/>
      <x:c r="W6" s="107"/>
      <x:c r="X6" s="107"/>
      <x:c r="Y6" s="107"/>
      <x:c r="Z6" s="107"/>
      <x:c r="AA6" s="107"/>
      <x:c r="AB6" s="107"/>
      <x:c r="AC6" s="107"/>
    </x:row>
    <x:row r="7" ht="18" hidden="0" customHeight="1">
      <x:c r="A7" s="110" t="s">
        <x:v>91</x:v>
      </x:c>
      <x:c r="B7" s="111" t="n">
        <x:f aca="0">Assumptions!B80</x:f>
        <x:v>0.7</x:v>
      </x:c>
      <x:c r="C7" s="111" t="n">
        <x:f aca="0">Assumptions!C80</x:f>
        <x:v>1</x:v>
      </x:c>
      <x:c r="D7" s="111" t="n">
        <x:f aca="0">Assumptions!D80</x:f>
        <x:v>1.3</x:v>
      </x:c>
      <x:c r="E7" s="74"/>
      <x:c r="F7" s="112" t="s">
        <x:v>293</x:v>
      </x:c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107"/>
      <x:c r="S7" s="107"/>
      <x:c r="T7" s="107"/>
      <x:c r="U7" s="107"/>
      <x:c r="V7" s="107"/>
      <x:c r="W7" s="107"/>
      <x:c r="X7" s="107"/>
      <x:c r="Y7" s="107"/>
      <x:c r="Z7" s="107"/>
      <x:c r="AA7" s="107"/>
      <x:c r="AB7" s="107"/>
      <x:c r="AC7" s="107"/>
    </x:row>
    <x:row r="8" ht="18" hidden="0" customHeight="1">
      <x:c r="A8" s="110" t="s">
        <x:v>93</x:v>
      </x:c>
      <x:c r="B8" s="111" t="n">
        <x:f aca="0">Assumptions!B81</x:f>
        <x:v>1.1</x:v>
      </x:c>
      <x:c r="C8" s="111" t="n">
        <x:f aca="0">Assumptions!C81</x:f>
        <x:v>1</x:v>
      </x:c>
      <x:c r="D8" s="111" t="n">
        <x:f aca="0">Assumptions!D81</x:f>
        <x:v>0.9</x:v>
      </x:c>
      <x:c r="E8" s="74"/>
      <x:c r="F8" s="112" t="s">
        <x:v>294</x:v>
      </x:c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107"/>
      <x:c r="S8" s="107"/>
      <x:c r="T8" s="107"/>
      <x:c r="U8" s="107"/>
      <x:c r="V8" s="107"/>
      <x:c r="W8" s="107"/>
      <x:c r="X8" s="107"/>
      <x:c r="Y8" s="107"/>
      <x:c r="Z8" s="107"/>
      <x:c r="AA8" s="107"/>
      <x:c r="AB8" s="107"/>
      <x:c r="AC8" s="107"/>
    </x:row>
    <x:row r="9" ht="18" hidden="0" customHeight="1">
      <x:c r="A9" s="110" t="s">
        <x:v>95</x:v>
      </x:c>
      <x:c r="B9" s="111" t="n">
        <x:f aca="0">Assumptions!B82</x:f>
        <x:v>1.15</x:v>
      </x:c>
      <x:c r="C9" s="111" t="n">
        <x:f aca="0">Assumptions!C82</x:f>
        <x:v>1</x:v>
      </x:c>
      <x:c r="D9" s="111" t="n">
        <x:f aca="0">Assumptions!D82</x:f>
        <x:v>0.85</x:v>
      </x:c>
      <x:c r="E9" s="74"/>
      <x:c r="F9" s="112" t="s">
        <x:v>295</x:v>
      </x:c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107"/>
      <x:c r="S9" s="107"/>
      <x:c r="T9" s="107"/>
      <x:c r="U9" s="107"/>
      <x:c r="V9" s="107"/>
      <x:c r="W9" s="107"/>
      <x:c r="X9" s="107"/>
      <x:c r="Y9" s="107"/>
      <x:c r="Z9" s="107"/>
      <x:c r="AA9" s="107"/>
      <x:c r="AB9" s="107"/>
      <x:c r="AC9" s="107"/>
    </x:row>
    <x:row r="10" ht="18" hidden="0" customHeight="1">
      <x:c r="A10" s="110" t="s">
        <x:v>97</x:v>
      </x:c>
      <x:c r="B10" s="111" t="n">
        <x:f aca="0">Assumptions!B83</x:f>
        <x:v>1.15</x:v>
      </x:c>
      <x:c r="C10" s="111" t="n">
        <x:f aca="0">Assumptions!C83</x:f>
        <x:v>1</x:v>
      </x:c>
      <x:c r="D10" s="111" t="n">
        <x:f aca="0">Assumptions!D83</x:f>
        <x:v>0.85</x:v>
      </x:c>
      <x:c r="E10" s="74"/>
      <x:c r="F10" s="112" t="s">
        <x:v>296</x:v>
      </x:c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107"/>
      <x:c r="S10" s="107"/>
      <x:c r="T10" s="107"/>
      <x:c r="U10" s="107"/>
      <x:c r="V10" s="107"/>
      <x:c r="W10" s="107"/>
      <x:c r="X10" s="107"/>
      <x:c r="Y10" s="107"/>
      <x:c r="Z10" s="107"/>
      <x:c r="AA10" s="107"/>
      <x:c r="AB10" s="107"/>
      <x:c r="AC10" s="107"/>
    </x:row>
    <x:row r="11" ht="18" hidden="0" customHeight="1">
      <x:c r="A11" s="110" t="s">
        <x:v>99</x:v>
      </x:c>
      <x:c r="B11" s="111" t="n">
        <x:f aca="0">Assumptions!B84</x:f>
        <x:v>1.15</x:v>
      </x:c>
      <x:c r="C11" s="111" t="n">
        <x:f aca="0">Assumptions!C84</x:f>
        <x:v>1</x:v>
      </x:c>
      <x:c r="D11" s="111" t="n">
        <x:f aca="0">Assumptions!D84</x:f>
        <x:v>0.85</x:v>
      </x:c>
      <x:c r="E11" s="74"/>
      <x:c r="F11" s="112" t="s">
        <x:v>297</x:v>
      </x:c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107"/>
      <x:c r="S11" s="107"/>
      <x:c r="T11" s="107"/>
      <x:c r="U11" s="107"/>
      <x:c r="V11" s="107"/>
      <x:c r="W11" s="107"/>
      <x:c r="X11" s="107"/>
      <x:c r="Y11" s="107"/>
      <x:c r="Z11" s="107"/>
      <x:c r="AA11" s="107"/>
      <x:c r="AB11" s="107"/>
      <x:c r="AC11" s="107"/>
    </x:row>
    <x:row r="12" ht="18" hidden="0" customHeight="1">
      <x:c r="A12" s="110" t="s">
        <x:v>101</x:v>
      </x:c>
      <x:c r="B12" s="113" t="n">
        <x:f aca="0">Assumptions!B85</x:f>
        <x:v>0.03</x:v>
      </x:c>
      <x:c r="C12" s="113" t="n">
        <x:f aca="0">Assumptions!C85</x:f>
        <x:v>0.05</x:v>
      </x:c>
      <x:c r="D12" s="113" t="n">
        <x:f aca="0">Assumptions!D85</x:f>
        <x:v>0.07</x:v>
      </x:c>
      <x:c r="E12" s="74"/>
      <x:c r="F12" s="112" t="s">
        <x:v>298</x:v>
      </x:c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107"/>
      <x:c r="S12" s="107"/>
      <x:c r="T12" s="107"/>
      <x:c r="U12" s="107"/>
      <x:c r="V12" s="107"/>
      <x:c r="W12" s="107"/>
      <x:c r="X12" s="107"/>
      <x:c r="Y12" s="107"/>
      <x:c r="Z12" s="107"/>
      <x:c r="AA12" s="107"/>
      <x:c r="AB12" s="107"/>
      <x:c r="AC12" s="107"/>
    </x:row>
    <x:row r="13" ht="13.5" hidden="0" customHeight="1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107"/>
      <x:c r="S13" s="107"/>
      <x:c r="T13" s="107"/>
      <x:c r="U13" s="107"/>
      <x:c r="V13" s="107"/>
      <x:c r="W13" s="107"/>
      <x:c r="X13" s="107"/>
      <x:c r="Y13" s="107"/>
      <x:c r="Z13" s="107"/>
      <x:c r="AA13" s="107"/>
      <x:c r="AB13" s="107"/>
      <x:c r="AC13" s="107"/>
    </x:row>
    <x:row r="14" ht="19.5" hidden="0" customHeight="1">
      <x:c r="A14" s="108" t="s">
        <x:v>299</x:v>
      </x:c>
      <x:c r="B14" s="108"/>
      <x:c r="C14" s="108"/>
      <x:c r="D14" s="108"/>
      <x:c r="E14" s="108"/>
      <x:c r="F14" s="108"/>
      <x:c r="G14" s="108"/>
      <x:c r="H14" s="108"/>
      <x:c r="I14" s="108"/>
      <x:c r="J14" s="108"/>
      <x:c r="K14" s="108"/>
      <x:c r="L14" s="108"/>
      <x:c r="M14" s="108"/>
      <x:c r="N14" s="108"/>
      <x:c r="O14" s="108"/>
      <x:c r="P14" s="108"/>
      <x:c r="Q14" s="108"/>
      <x:c r="R14" s="108"/>
      <x:c r="S14" s="108"/>
      <x:c r="T14" s="108"/>
      <x:c r="U14" s="108"/>
      <x:c r="V14" s="108"/>
      <x:c r="W14" s="108"/>
      <x:c r="X14" s="108"/>
      <x:c r="Y14" s="108"/>
      <x:c r="Z14" s="108"/>
      <x:c r="AA14" s="108"/>
      <x:c r="AB14" s="108"/>
      <x:c r="AC14" s="108"/>
    </x:row>
    <x:row r="15" ht="24" hidden="0" customHeight="1">
      <x:c r="A15" s="53" t="s">
        <x:v>84</x:v>
      </x:c>
      <x:c r="B15" s="67" t="s">
        <x:v>85</x:v>
      </x:c>
      <x:c r="C15" s="67" t="s">
        <x:v>86</x:v>
      </x:c>
      <x:c r="D15" s="67" t="s">
        <x:v>87</x:v>
      </x:c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107"/>
      <x:c r="S15" s="107"/>
      <x:c r="T15" s="107"/>
      <x:c r="U15" s="107"/>
      <x:c r="V15" s="107"/>
      <x:c r="W15" s="107"/>
      <x:c r="X15" s="107"/>
      <x:c r="Y15" s="107"/>
      <x:c r="Z15" s="107"/>
      <x:c r="AA15" s="107"/>
      <x:c r="AB15" s="107"/>
      <x:c r="AC15" s="107"/>
    </x:row>
    <x:row r="16" ht="18" hidden="0" customHeight="1">
      <x:c r="A16" s="110" t="s">
        <x:v>300</x:v>
      </x:c>
      <x:c r="B16" s="114" t="n">
        <x:f aca="0">Z37</x:f>
        <x:v>46635905.94530013</x:v>
      </x:c>
      <x:c r="C16" s="114" t="n">
        <x:f aca="0">'P&amp;L'!$Z$9</x:f>
        <x:v>66622722.7790002</x:v>
      </x:c>
      <x:c r="D16" s="114" t="n">
        <x:f aca="0">Z77</x:f>
        <x:v>86609539.61270025</x:v>
      </x:c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107"/>
      <x:c r="S16" s="107"/>
      <x:c r="T16" s="107"/>
      <x:c r="U16" s="107"/>
      <x:c r="V16" s="107"/>
      <x:c r="W16" s="107"/>
      <x:c r="X16" s="107"/>
      <x:c r="Y16" s="107"/>
      <x:c r="Z16" s="107"/>
      <x:c r="AA16" s="107"/>
      <x:c r="AB16" s="107"/>
      <x:c r="AC16" s="107"/>
    </x:row>
    <x:row r="17" ht="18" hidden="0" customHeight="1">
      <x:c r="A17" s="110" t="s">
        <x:v>301</x:v>
      </x:c>
      <x:c r="B17" s="114" t="n">
        <x:f aca="0">AA37</x:f>
        <x:v>328002314.0086677</x:v>
      </x:c>
      <x:c r="C17" s="114" t="n">
        <x:f aca="0">'P&amp;L'!$AA$9</x:f>
        <x:v>468574734.2980967</x:v>
      </x:c>
      <x:c r="D17" s="114" t="n">
        <x:f aca="0">AA77</x:f>
        <x:v>609147154.5875258</x:v>
      </x:c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107"/>
      <x:c r="S17" s="107"/>
      <x:c r="T17" s="107"/>
      <x:c r="U17" s="107"/>
      <x:c r="V17" s="107"/>
      <x:c r="W17" s="107"/>
      <x:c r="X17" s="107"/>
      <x:c r="Y17" s="107"/>
      <x:c r="Z17" s="107"/>
      <x:c r="AA17" s="107"/>
      <x:c r="AB17" s="107"/>
      <x:c r="AC17" s="107"/>
    </x:row>
    <x:row r="18" ht="18" hidden="0" customHeight="1">
      <x:c r="A18" s="110" t="s">
        <x:v>302</x:v>
      </x:c>
      <x:c r="B18" s="114" t="n">
        <x:f aca="0">Z41</x:f>
        <x:v>64897778.01583374</x:v>
      </x:c>
      <x:c r="C18" s="114" t="n">
        <x:f aca="0">Costs!$Z$27</x:f>
        <x:v>58018697.53143716</x:v>
      </x:c>
      <x:c r="D18" s="114" t="n">
        <x:f aca="0">Z81</x:f>
        <x:v>51139617.04704056</x:v>
      </x:c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107"/>
      <x:c r="S18" s="107"/>
      <x:c r="T18" s="107"/>
      <x:c r="U18" s="107"/>
      <x:c r="V18" s="107"/>
      <x:c r="W18" s="107"/>
      <x:c r="X18" s="107"/>
      <x:c r="Y18" s="107"/>
      <x:c r="Z18" s="107"/>
      <x:c r="AA18" s="107"/>
      <x:c r="AB18" s="107"/>
      <x:c r="AC18" s="107"/>
    </x:row>
    <x:row r="19" ht="18" hidden="0" customHeight="1">
      <x:c r="A19" s="110" t="s">
        <x:v>303</x:v>
      </x:c>
      <x:c r="B19" s="114" t="n">
        <x:f aca="0">AA41</x:f>
        <x:v>110646329.69846553</x:v>
      </x:c>
      <x:c r="C19" s="114" t="n">
        <x:f aca="0">Costs!$AA$27</x:f>
        <x:v>98615688.17497241</x:v>
      </x:c>
      <x:c r="D19" s="114" t="n">
        <x:f aca="0">AA81</x:f>
        <x:v>86585046.65147926</x:v>
      </x:c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107"/>
      <x:c r="S19" s="107"/>
      <x:c r="T19" s="107"/>
      <x:c r="U19" s="107"/>
      <x:c r="V19" s="107"/>
      <x:c r="W19" s="107"/>
      <x:c r="X19" s="107"/>
      <x:c r="Y19" s="107"/>
      <x:c r="Z19" s="107"/>
      <x:c r="AA19" s="107"/>
      <x:c r="AB19" s="107"/>
      <x:c r="AC19" s="107"/>
    </x:row>
    <x:row r="20" ht="18" hidden="0" customHeight="1">
      <x:c r="A20" s="115" t="s">
        <x:v>304</x:v>
      </x:c>
      <x:c r="B20" s="116" t="n">
        <x:f aca="0">Z42</x:f>
        <x:v>-18261872.070533603</x:v>
      </x:c>
      <x:c r="C20" s="116" t="n">
        <x:f aca="0">'P&amp;L'!$Z$20</x:f>
        <x:v>8604025.24756305</x:v>
      </x:c>
      <x:c r="D20" s="116" t="n">
        <x:f aca="0">Z82</x:f>
        <x:v>35469922.5656597</x:v>
      </x:c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107"/>
      <x:c r="S20" s="107"/>
      <x:c r="T20" s="107"/>
      <x:c r="U20" s="107"/>
      <x:c r="V20" s="107"/>
      <x:c r="W20" s="107"/>
      <x:c r="X20" s="107"/>
      <x:c r="Y20" s="107"/>
      <x:c r="Z20" s="107"/>
      <x:c r="AA20" s="107"/>
      <x:c r="AB20" s="107"/>
      <x:c r="AC20" s="107"/>
    </x:row>
    <x:row r="21" ht="18" hidden="0" customHeight="1">
      <x:c r="A21" s="115" t="s">
        <x:v>305</x:v>
      </x:c>
      <x:c r="B21" s="116" t="n">
        <x:f aca="0">AA42</x:f>
        <x:v>217355984.3102022</x:v>
      </x:c>
      <x:c r="C21" s="116" t="n">
        <x:f aca="0">'P&amp;L'!$AA$20</x:f>
        <x:v>369959046.12312436</x:v>
      </x:c>
      <x:c r="D21" s="116" t="n">
        <x:f aca="0">AA82</x:f>
        <x:v>522562107.9360466</x:v>
      </x:c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107"/>
      <x:c r="S21" s="107"/>
      <x:c r="T21" s="107"/>
      <x:c r="U21" s="107"/>
      <x:c r="V21" s="107"/>
      <x:c r="W21" s="107"/>
      <x:c r="X21" s="107"/>
      <x:c r="Y21" s="107"/>
      <x:c r="Z21" s="107"/>
      <x:c r="AA21" s="107"/>
      <x:c r="AB21" s="107"/>
      <x:c r="AC21" s="107"/>
    </x:row>
    <x:row r="22" ht="18" hidden="0" customHeight="1">
      <x:c r="A22" s="115" t="s">
        <x:v>306</x:v>
      </x:c>
      <x:c r="B22" s="116" t="n">
        <x:f aca="0">Z50</x:f>
        <x:v>-28453837.36997087</x:v>
      </x:c>
      <x:c r="C22" s="116" t="n">
        <x:f aca="0">'Cash Flow'!$Z$19</x:f>
        <x:v>-3705101.082059129</x:v>
      </x:c>
      <x:c r="D22" s="116" t="n">
        <x:f aca="0">Z90</x:f>
        <x:v>20112263.637056552</x:v>
      </x:c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107"/>
      <x:c r="S22" s="107"/>
      <x:c r="T22" s="107"/>
      <x:c r="U22" s="107"/>
      <x:c r="V22" s="107"/>
      <x:c r="W22" s="107"/>
      <x:c r="X22" s="107"/>
      <x:c r="Y22" s="107"/>
      <x:c r="Z22" s="107"/>
      <x:c r="AA22" s="107"/>
      <x:c r="AB22" s="107"/>
      <x:c r="AC22" s="107"/>
    </x:row>
    <x:row r="23" ht="18" hidden="0" customHeight="1">
      <x:c r="A23" s="115" t="s">
        <x:v>307</x:v>
      </x:c>
      <x:c r="B23" s="116" t="n">
        <x:f aca="0">AA50</x:f>
        <x:v>174804787.44816175</x:v>
      </x:c>
      <x:c r="C23" s="116" t="n">
        <x:f aca="0">'Cash Flow'!$AA$19</x:f>
        <x:v>296767236.8984995</x:v>
      </x:c>
      <x:c r="D23" s="116" t="n">
        <x:f aca="0">AA90</x:f>
        <x:v>418729686.3488373</x:v>
      </x:c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107"/>
      <x:c r="S23" s="107"/>
      <x:c r="T23" s="107"/>
      <x:c r="U23" s="107"/>
      <x:c r="V23" s="107"/>
      <x:c r="W23" s="107"/>
      <x:c r="X23" s="107"/>
      <x:c r="Y23" s="107"/>
      <x:c r="Z23" s="107"/>
      <x:c r="AA23" s="107"/>
      <x:c r="AB23" s="107"/>
      <x:c r="AC23" s="107"/>
    </x:row>
    <x:row r="24" ht="18" hidden="0" customHeight="1">
      <x:c r="A24" s="110" t="s">
        <x:v>308</x:v>
      </x:c>
      <x:c r="B24" s="114" t="n">
        <x:f aca="0">SUM(Z52:AA52)</x:f>
        <x:v>100677018.4232055</x:v>
      </x:c>
      <x:c r="C24" s="114" t="n">
        <x:f aca="0">DCF!$B$20</x:f>
        <x:v>213096385.25030917</x:v>
      </x:c>
      <x:c r="D24" s="114" t="n">
        <x:f aca="0">SUM(Z92:AA92)</x:f>
        <x:v>324687418.78034997</x:v>
      </x:c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107"/>
      <x:c r="S24" s="107"/>
      <x:c r="T24" s="107"/>
      <x:c r="U24" s="107"/>
      <x:c r="V24" s="107"/>
      <x:c r="W24" s="107"/>
      <x:c r="X24" s="107"/>
      <x:c r="Y24" s="107"/>
      <x:c r="Z24" s="107"/>
      <x:c r="AA24" s="107"/>
      <x:c r="AB24" s="107"/>
      <x:c r="AC24" s="107"/>
    </x:row>
    <x:row r="25" ht="18" hidden="0" customHeight="1">
      <x:c r="A25" s="110" t="s">
        <x:v>309</x:v>
      </x:c>
      <x:c r="B25" s="114" t="n">
        <x:f aca="0">(B23*(1+B$12)/(Assumptions!$B$73-B$12))*'Cash Flow'!$Y$21</x:f>
        <x:v>735493999.4755172</x:v>
      </x:c>
      <x:c r="C25" s="114" t="n">
        <x:f aca="0">DCF!$B$21</x:f>
        <x:v>1442618512.701039</x:v>
      </x:c>
      <x:c r="D25" s="114" t="n">
        <x:f aca="0">(D23*(1+D$12)/(Assumptions!$B$73-D$12))*'Cash Flow'!$Y$21</x:f>
        <x:v>2393380151.6733756</x:v>
      </x:c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107"/>
      <x:c r="S25" s="107"/>
      <x:c r="T25" s="107"/>
      <x:c r="U25" s="107"/>
      <x:c r="V25" s="107"/>
      <x:c r="W25" s="107"/>
      <x:c r="X25" s="107"/>
      <x:c r="Y25" s="107"/>
      <x:c r="Z25" s="107"/>
      <x:c r="AA25" s="107"/>
      <x:c r="AB25" s="107"/>
      <x:c r="AC25" s="107"/>
    </x:row>
    <x:row r="26" ht="18" hidden="0" customHeight="1">
      <x:c r="A26" s="115" t="s">
        <x:v>282</x:v>
      </x:c>
      <x:c r="B26" s="116" t="n">
        <x:f aca="0">SUM(B24:B25)</x:f>
        <x:v>836171017.8987226</x:v>
      </x:c>
      <x:c r="C26" s="116" t="n">
        <x:f aca="0">DCF!$B$22</x:f>
        <x:v>1655714897.9513483</x:v>
      </x:c>
      <x:c r="D26" s="116" t="n">
        <x:f aca="0">SUM(D24:D25)</x:f>
        <x:v>2718067570.453726</x:v>
      </x:c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107"/>
      <x:c r="S26" s="107"/>
      <x:c r="T26" s="107"/>
      <x:c r="U26" s="107"/>
      <x:c r="V26" s="107"/>
      <x:c r="W26" s="107"/>
      <x:c r="X26" s="107"/>
      <x:c r="Y26" s="107"/>
      <x:c r="Z26" s="107"/>
      <x:c r="AA26" s="107"/>
      <x:c r="AB26" s="107"/>
      <x:c r="AC26" s="107"/>
    </x:row>
    <x:row r="27" ht="18" hidden="0" customHeight="1">
      <x:c r="A27" s="110" t="s">
        <x:v>310</x:v>
      </x:c>
      <x:c r="B27" s="117" t="n">
        <x:f aca="0">IFERROR(B25/B26,0)</x:f>
        <x:v>0.879597574816448</x:v>
      </x:c>
      <x:c r="C27" s="117" t="n">
        <x:f aca="0">DCF!$B$23</x:f>
        <x:v>0.8712964499419689</x:v>
      </x:c>
      <x:c r="D27" s="117" t="n">
        <x:f aca="0">IFERROR(D25/D26,0)</x:f>
        <x:v>0.8805447582283062</x:v>
      </x:c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107"/>
      <x:c r="S27" s="107"/>
      <x:c r="T27" s="107"/>
      <x:c r="U27" s="107"/>
      <x:c r="V27" s="107"/>
      <x:c r="W27" s="107"/>
      <x:c r="X27" s="107"/>
      <x:c r="Y27" s="107"/>
      <x:c r="Z27" s="107"/>
      <x:c r="AA27" s="107"/>
      <x:c r="AB27" s="107"/>
      <x:c r="AC27" s="107"/>
    </x:row>
    <x:row r="28" ht="13.5" hidden="0" customHeight="1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107"/>
      <x:c r="S28" s="107"/>
      <x:c r="T28" s="107"/>
      <x:c r="U28" s="107"/>
      <x:c r="V28" s="107"/>
      <x:c r="W28" s="107"/>
      <x:c r="X28" s="107"/>
      <x:c r="Y28" s="107"/>
      <x:c r="Z28" s="107"/>
      <x:c r="AA28" s="107"/>
      <x:c r="AB28" s="107"/>
      <x:c r="AC28" s="107"/>
    </x:row>
    <x:row r="29" ht="7.5" hidden="0" customHeight="1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107"/>
      <x:c r="S29" s="107"/>
      <x:c r="T29" s="107"/>
      <x:c r="U29" s="107"/>
      <x:c r="V29" s="107"/>
      <x:c r="W29" s="107"/>
      <x:c r="X29" s="107"/>
      <x:c r="Y29" s="107"/>
      <x:c r="Z29" s="107"/>
      <x:c r="AA29" s="107"/>
      <x:c r="AB29" s="107"/>
      <x:c r="AC29" s="107"/>
    </x:row>
    <x:row r="30" ht="7.5" hidden="0" customHeight="1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107"/>
      <x:c r="S30" s="107"/>
      <x:c r="T30" s="107"/>
      <x:c r="U30" s="107"/>
      <x:c r="V30" s="107"/>
      <x:c r="W30" s="107"/>
      <x:c r="X30" s="107"/>
      <x:c r="Y30" s="107"/>
      <x:c r="Z30" s="107"/>
      <x:c r="AA30" s="107"/>
      <x:c r="AB30" s="107"/>
      <x:c r="AC30" s="107"/>
    </x:row>
    <x:row r="31" ht="19.5" hidden="0" customHeight="1">
      <x:c r="A31" s="108" t="s">
        <x:v>311</x:v>
      </x:c>
      <x:c r="B31" s="108"/>
      <x:c r="C31" s="108"/>
      <x:c r="D31" s="108"/>
      <x:c r="E31" s="108"/>
      <x:c r="F31" s="108"/>
      <x:c r="G31" s="108"/>
      <x:c r="H31" s="108"/>
      <x:c r="I31" s="108"/>
      <x:c r="J31" s="108"/>
      <x:c r="K31" s="108"/>
      <x:c r="L31" s="108"/>
      <x:c r="M31" s="108"/>
      <x:c r="N31" s="108"/>
      <x:c r="O31" s="108"/>
      <x:c r="P31" s="108"/>
      <x:c r="Q31" s="108"/>
      <x:c r="R31" s="108"/>
      <x:c r="S31" s="108"/>
      <x:c r="T31" s="108"/>
      <x:c r="U31" s="108"/>
      <x:c r="V31" s="108"/>
      <x:c r="W31" s="108"/>
      <x:c r="X31" s="108"/>
      <x:c r="Y31" s="108"/>
      <x:c r="Z31" s="108"/>
      <x:c r="AA31" s="108"/>
      <x:c r="AB31" s="108"/>
      <x:c r="AC31" s="108"/>
    </x:row>
    <x:row r="32" ht="24" hidden="0" customHeight="1">
      <x:c r="A32" s="53" t="s">
        <x:v>84</x:v>
      </x:c>
      <x:c r="B32" s="67" t="s">
        <x:v>120</x:v>
      </x:c>
      <x:c r="C32" s="67" t="s">
        <x:v>121</x:v>
      </x:c>
      <x:c r="D32" s="67" t="s">
        <x:v>122</x:v>
      </x:c>
      <x:c r="E32" s="67" t="s">
        <x:v>123</x:v>
      </x:c>
      <x:c r="F32" s="67" t="s">
        <x:v>124</x:v>
      </x:c>
      <x:c r="G32" s="67" t="s">
        <x:v>125</x:v>
      </x:c>
      <x:c r="H32" s="67" t="s">
        <x:v>126</x:v>
      </x:c>
      <x:c r="I32" s="67" t="s">
        <x:v>127</x:v>
      </x:c>
      <x:c r="J32" s="67" t="s">
        <x:v>128</x:v>
      </x:c>
      <x:c r="K32" s="67" t="s">
        <x:v>129</x:v>
      </x:c>
      <x:c r="L32" s="67" t="s">
        <x:v>130</x:v>
      </x:c>
      <x:c r="M32" s="67" t="s">
        <x:v>131</x:v>
      </x:c>
      <x:c r="N32" s="67" t="s">
        <x:v>132</x:v>
      </x:c>
      <x:c r="O32" s="67" t="s">
        <x:v>133</x:v>
      </x:c>
      <x:c r="P32" s="67" t="s">
        <x:v>134</x:v>
      </x:c>
      <x:c r="Q32" s="67" t="s">
        <x:v>135</x:v>
      </x:c>
      <x:c r="R32" s="67" t="s">
        <x:v>136</x:v>
      </x:c>
      <x:c r="S32" s="67" t="s">
        <x:v>137</x:v>
      </x:c>
      <x:c r="T32" s="67" t="s">
        <x:v>138</x:v>
      </x:c>
      <x:c r="U32" s="67" t="s">
        <x:v>139</x:v>
      </x:c>
      <x:c r="V32" s="67" t="s">
        <x:v>140</x:v>
      </x:c>
      <x:c r="W32" s="67" t="s">
        <x:v>141</x:v>
      </x:c>
      <x:c r="X32" s="67" t="s">
        <x:v>142</x:v>
      </x:c>
      <x:c r="Y32" s="67" t="s">
        <x:v>143</x:v>
      </x:c>
      <x:c r="Z32" s="67" t="s">
        <x:v>144</x:v>
      </x:c>
      <x:c r="AA32" s="67" t="s">
        <x:v>145</x:v>
      </x:c>
      <x:c r="AB32" s="118"/>
      <x:c r="AC32" s="118"/>
    </x:row>
    <x:row r="33" ht="7.5" hidden="0" customHeight="1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107"/>
      <x:c r="S33" s="107"/>
      <x:c r="T33" s="107"/>
      <x:c r="U33" s="107"/>
      <x:c r="V33" s="107"/>
      <x:c r="W33" s="107"/>
      <x:c r="X33" s="107"/>
      <x:c r="Y33" s="107"/>
      <x:c r="Z33" s="107"/>
      <x:c r="AA33" s="107"/>
      <x:c r="AB33" s="107"/>
      <x:c r="AC33" s="107"/>
    </x:row>
    <x:row r="34" ht="19.5" hidden="0" customHeight="1">
      <x:c r="A34" s="108" t="s">
        <x:v>312</x:v>
      </x:c>
      <x:c r="B34" s="108"/>
      <x:c r="C34" s="108"/>
      <x:c r="D34" s="108"/>
      <x:c r="E34" s="108"/>
      <x:c r="F34" s="108"/>
      <x:c r="G34" s="108"/>
      <x:c r="H34" s="108"/>
      <x:c r="I34" s="108"/>
      <x:c r="J34" s="108"/>
      <x:c r="K34" s="108"/>
      <x:c r="L34" s="108"/>
      <x:c r="M34" s="108"/>
      <x:c r="N34" s="108"/>
      <x:c r="O34" s="108"/>
      <x:c r="P34" s="108"/>
      <x:c r="Q34" s="108"/>
      <x:c r="R34" s="108"/>
      <x:c r="S34" s="108"/>
      <x:c r="T34" s="108"/>
      <x:c r="U34" s="108"/>
      <x:c r="V34" s="108"/>
      <x:c r="W34" s="108"/>
      <x:c r="X34" s="108"/>
      <x:c r="Y34" s="108"/>
      <x:c r="Z34" s="108"/>
      <x:c r="AA34" s="108"/>
      <x:c r="AB34" s="108"/>
      <x:c r="AC34" s="108"/>
    </x:row>
    <x:row r="35" ht="18" hidden="0" customHeight="1">
      <x:c r="A35" s="110" t="s">
        <x:v>191</x:v>
      </x:c>
      <x:c r="B35" s="114" t="n">
        <x:f aca="0">'P&amp;L'!B7*$B$6</x:f>
        <x:v>0</x:v>
      </x:c>
      <x:c r="C35" s="114" t="n">
        <x:f aca="0">'P&amp;L'!C7*$B$6</x:f>
        <x:v>0</x:v>
      </x:c>
      <x:c r="D35" s="114" t="n">
        <x:f aca="0">'P&amp;L'!D7*$B$6</x:f>
        <x:v>0</x:v>
      </x:c>
      <x:c r="E35" s="114" t="n">
        <x:f aca="0">'P&amp;L'!E7*$B$6</x:f>
        <x:v>90090</x:v>
      </x:c>
      <x:c r="F35" s="114" t="n">
        <x:f aca="0">'P&amp;L'!F7*$B$6</x:f>
        <x:v>269819.54999999993</x:v>
      </x:c>
      <x:c r="G35" s="114" t="n">
        <x:f aca="0">'P&amp;L'!G7*$B$6</x:f>
        <x:v>539024.23575</x:v>
      </x:c>
      <x:c r="H35" s="114" t="n">
        <x:f aca="0">'P&amp;L'!H7*$B$6</x:f>
        <x:v>897826.88370375</x:v>
      </x:c>
      <x:c r="I35" s="114" t="n">
        <x:f aca="0">'P&amp;L'!I7*$B$6</x:f>
        <x:v>1346639.6406900936</x:v>
      </x:c>
      <x:c r="J35" s="114" t="n">
        <x:f aca="0">'P&amp;L'!J7*$B$6</x:f>
        <x:v>1886166.9405955314</x:v>
      </x:c>
      <x:c r="K35" s="114" t="n">
        <x:f aca="0">'P&amp;L'!K7*$B$6</x:f>
        <x:v>2517409.3730997406</x:v>
      </x:c>
      <x:c r="L35" s="114" t="n">
        <x:f aca="0">'P&amp;L'!L7*$B$6</x:f>
        <x:v>3241668.4723182614</x:v>
      </x:c>
      <x:c r="M35" s="114" t="n">
        <x:f aca="0">'P&amp;L'!M7*$B$6</x:f>
        <x:v>4060552.446092238</x:v>
      </x:c>
      <x:c r="N35" s="114" t="n">
        <x:f aca="0">'P&amp;L'!N7*$B$6</x:f>
        <x:v>4975982.869633218</x:v>
      </x:c>
      <x:c r="O35" s="114" t="n">
        <x:f aca="0">'P&amp;L'!O7*$B$6</x:f>
        <x:v>5990202.370291013</x:v>
      </x:c>
      <x:c r="P35" s="114" t="n">
        <x:f aca="0">'P&amp;L'!P7*$B$6</x:f>
        <x:v>7105783.333374264</x:v>
      </x:c>
      <x:c r="Q35" s="114" t="n">
        <x:f aca="0">'P&amp;L'!Q7*$B$6</x:f>
        <x:v>8319652.042127836</x:v>
      </x:c>
      <x:c r="R35" s="114" t="n">
        <x:f aca="0">'P&amp;L'!R7*$B$6</x:f>
        <x:v>9628965.436362052</x:v>
      </x:c>
      <x:c r="S35" s="114" t="n">
        <x:f aca="0">'P&amp;L'!S7*$B$6</x:f>
        <x:v>11031101.09721535</x:v>
      </x:c>
      <x:c r="T35" s="114" t="n">
        <x:f aca="0">'P&amp;L'!T7*$B$6</x:f>
        <x:v>12523647.776718715</x:v>
      </x:c>
      <x:c r="U35" s="114" t="n">
        <x:f aca="0">'P&amp;L'!U7*$B$6</x:f>
        <x:v>14104396.44593132</x:v>
      </x:c>
      <x:c r="V35" s="114" t="n">
        <x:f aca="0">'P&amp;L'!V7*$B$6</x:f>
        <x:v>15771331.83675493</x:v>
      </x:c>
      <x:c r="W35" s="114" t="n">
        <x:f aca="0">'P&amp;L'!W7*$B$6</x:f>
        <x:v>17522624.453806482</x:v>
      </x:c>
      <x:c r="X35" s="114" t="n">
        <x:f aca="0">'P&amp;L'!X7*$B$6</x:f>
        <x:v>19356623.033937193</x:v>
      </x:c>
      <x:c r="Y35" s="114" t="n">
        <x:f aca="0">'P&amp;L'!Y7*$B$6</x:f>
        <x:v>21271847.43213575</x:v>
      </x:c>
      <x:c r="Z35" s="114" t="n">
        <x:f aca="0">SUM(B35:M35)</x:f>
        <x:v>14849197.542249616</x:v>
      </x:c>
      <x:c r="AA35" s="114" t="n">
        <x:f aca="0">SUM(N35:Y35)</x:f>
        <x:v>147602158.12828812</x:v>
      </x:c>
      <x:c r="AB35" s="107"/>
      <x:c r="AC35" s="107"/>
    </x:row>
    <x:row r="36" ht="18" hidden="0" customHeight="1">
      <x:c r="A36" s="110" t="s">
        <x:v>192</x:v>
      </x:c>
      <x:c r="B36" s="114" t="n">
        <x:f aca="0">'P&amp;L'!B8*$B$7</x:f>
        <x:v>225450.22499999998</x:v>
      </x:c>
      <x:c r="C36" s="114" t="n">
        <x:f aca="0">'P&amp;L'!C8*$B$7</x:f>
        <x:v>459918.459</x:v>
      </x:c>
      <x:c r="D36" s="114" t="n">
        <x:f aca="0">'P&amp;L'!D8*$B$7</x:f>
        <x:v>704035.9626300001</x:v>
      </x:c>
      <x:c r="E36" s="114" t="n">
        <x:f aca="0">'P&amp;L'!E8*$B$7</x:f>
        <x:v>1026600.6310560001</x:v>
      </x:c>
      <x:c r="F36" s="114" t="n">
        <x:f aca="0">'P&amp;L'!F8*$B$7</x:f>
        <x:v>1427636.763749196</x:v>
      </x:c>
      <x:c r="G36" s="114" t="n">
        <x:f aca="0">'P&amp;L'!G8*$B$7</x:f>
        <x:v>1907434.0951636368</x:v>
      </x:c>
      <x:c r="H36" s="114" t="n">
        <x:f aca="0">'P&amp;L'!H8*$B$7</x:f>
        <x:v>2466549.9249745924</x:v>
      </x:c>
      <x:c r="I36" s="114" t="n">
        <x:f aca="0">'P&amp;L'!I8*$B$7</x:f>
        <x:v>3105812.0778644476</x:v>
      </x:c>
      <x:c r="J36" s="114" t="n">
        <x:f aca="0">'P&amp;L'!J8*$B$7</x:f>
        <x:v>3826322.707303519</x:v>
      </x:c>
      <x:c r="K36" s="114" t="n">
        <x:f aca="0">'P&amp;L'!K8*$B$7</x:f>
        <x:v>4629462.9604110615</x:v>
      </x:c>
      <x:c r="L36" s="114" t="n">
        <x:f aca="0">'P&amp;L'!L8*$B$7</x:f>
        <x:v>5516898.523689264</x:v>
      </x:c>
      <x:c r="M36" s="114" t="n">
        <x:f aca="0">'P&amp;L'!M8*$B$7</x:f>
        <x:v>6490586.072208805</x:v>
      </x:c>
      <x:c r="N36" s="114" t="n">
        <x:f aca="0">'P&amp;L'!N8*$B$7</x:f>
        <x:v>7537801.633399101</x:v>
      </x:c>
      <x:c r="O36" s="114" t="n">
        <x:f aca="0">'P&amp;L'!O8*$B$7</x:f>
        <x:v>8660133.315127753</x:v>
      </x:c>
      <x:c r="P36" s="114" t="n">
        <x:f aca="0">'P&amp;L'!P8*$B$7</x:f>
        <x:v>9859418.96942534</x:v>
      </x:c>
      <x:c r="Q36" s="114" t="n">
        <x:f aca="0">'P&amp;L'!Q8*$B$7</x:f>
        <x:v>11133225.86132839</x:v>
      </x:c>
      <x:c r="R36" s="114" t="n">
        <x:f aca="0">'P&amp;L'!R8*$B$7</x:f>
        <x:v>12479316.50271826</x:v>
      </x:c>
      <x:c r="S36" s="114" t="n">
        <x:f aca="0">'P&amp;L'!S8*$B$7</x:f>
        <x:v>13895639.965511207</x:v>
      </x:c>
      <x:c r="T36" s="114" t="n">
        <x:f aca="0">'P&amp;L'!T8*$B$7</x:f>
        <x:v>15380323.671371669</x:v>
      </x:c>
      <x:c r="U36" s="114" t="n">
        <x:f aca="0">'P&amp;L'!U8*$B$7</x:f>
        <x:v>16931665.634871263</x:v>
      </x:c>
      <x:c r="V36" s="114" t="n">
        <x:f aca="0">'P&amp;L'!V8*$B$7</x:f>
        <x:v>18548127.138194773</x:v>
      </x:c>
      <x:c r="W36" s="114" t="n">
        <x:f aca="0">'P&amp;L'!W8*$B$7</x:f>
        <x:v>20228325.816614524</x:v>
      </x:c>
      <x:c r="X36" s="114" t="n">
        <x:f aca="0">'P&amp;L'!X8*$B$7</x:f>
        <x:v>21971029.13501955</x:v>
      </x:c>
      <x:c r="Y36" s="114" t="n">
        <x:f aca="0">'P&amp;L'!Y8*$B$7</x:f>
        <x:v>23775148.23679778</x:v>
      </x:c>
      <x:c r="Z36" s="114" t="n">
        <x:f aca="0">SUM(B36:M36)</x:f>
        <x:v>31786708.403050527</x:v>
      </x:c>
      <x:c r="AA36" s="114" t="n">
        <x:f aca="0">SUM(N36:Y36)</x:f>
        <x:v>180400155.8803796</x:v>
      </x:c>
      <x:c r="AB36" s="107"/>
      <x:c r="AC36" s="107"/>
    </x:row>
    <x:row r="37" ht="18" hidden="0" customHeight="1">
      <x:c r="A37" s="115" t="s">
        <x:v>193</x:v>
      </x:c>
      <x:c r="B37" s="116" t="n">
        <x:f aca="0">SUM(B35:B36)</x:f>
        <x:v>225450.22499999998</x:v>
      </x:c>
      <x:c r="C37" s="116" t="n">
        <x:f aca="0">SUM(C35:C36)</x:f>
        <x:v>459918.459</x:v>
      </x:c>
      <x:c r="D37" s="116" t="n">
        <x:f aca="0">SUM(D35:D36)</x:f>
        <x:v>704035.9626300001</x:v>
      </x:c>
      <x:c r="E37" s="116" t="n">
        <x:f aca="0">SUM(E35:E36)</x:f>
        <x:v>1116690.631056</x:v>
      </x:c>
      <x:c r="F37" s="116" t="n">
        <x:f aca="0">SUM(F35:F36)</x:f>
        <x:v>1697456.313749196</x:v>
      </x:c>
      <x:c r="G37" s="116" t="n">
        <x:f aca="0">SUM(G35:G36)</x:f>
        <x:v>2446458.330913637</x:v>
      </x:c>
      <x:c r="H37" s="116" t="n">
        <x:f aca="0">SUM(H35:H36)</x:f>
        <x:v>3364376.8086783425</x:v>
      </x:c>
      <x:c r="I37" s="116" t="n">
        <x:f aca="0">SUM(I35:I36)</x:f>
        <x:v>4452451.7185545415</x:v>
      </x:c>
      <x:c r="J37" s="116" t="n">
        <x:f aca="0">SUM(J35:J36)</x:f>
        <x:v>5712489.64789905</x:v>
      </x:c>
      <x:c r="K37" s="116" t="n">
        <x:f aca="0">SUM(K35:K36)</x:f>
        <x:v>7146872.333510802</x:v>
      </x:c>
      <x:c r="L37" s="116" t="n">
        <x:f aca="0">SUM(L35:L36)</x:f>
        <x:v>8758566.996007526</x:v>
      </x:c>
      <x:c r="M37" s="116" t="n">
        <x:f aca="0">SUM(M35:M36)</x:f>
        <x:v>10551138.518301044</x:v>
      </x:c>
      <x:c r="N37" s="116" t="n">
        <x:f aca="0">SUM(N35:N36)</x:f>
        <x:v>12513784.50303232</x:v>
      </x:c>
      <x:c r="O37" s="116" t="n">
        <x:f aca="0">SUM(O35:O36)</x:f>
        <x:v>14650335.685418766</x:v>
      </x:c>
      <x:c r="P37" s="116" t="n">
        <x:f aca="0">SUM(P35:P36)</x:f>
        <x:v>16965202.302799605</x:v>
      </x:c>
      <x:c r="Q37" s="116" t="n">
        <x:f aca="0">SUM(Q35:Q36)</x:f>
        <x:v>19452877.903456226</x:v>
      </x:c>
      <x:c r="R37" s="116" t="n">
        <x:f aca="0">SUM(R35:R36)</x:f>
        <x:v>22108281.939080313</x:v>
      </x:c>
      <x:c r="S37" s="116" t="n">
        <x:f aca="0">SUM(S35:S36)</x:f>
        <x:v>24926741.062726557</x:v>
      </x:c>
      <x:c r="T37" s="116" t="n">
        <x:f aca="0">SUM(T35:T36)</x:f>
        <x:v>27903971.448090382</x:v>
      </x:c>
      <x:c r="U37" s="116" t="n">
        <x:f aca="0">SUM(U35:U36)</x:f>
        <x:v>31036062.080802582</x:v>
      </x:c>
      <x:c r="V37" s="116" t="n">
        <x:f aca="0">SUM(V35:V36)</x:f>
        <x:v>34319458.9749497</x:v>
      </x:c>
      <x:c r="W37" s="116" t="n">
        <x:f aca="0">SUM(W35:W36)</x:f>
        <x:v>37750950.270421006</x:v>
      </x:c>
      <x:c r="X37" s="116" t="n">
        <x:f aca="0">SUM(X35:X36)</x:f>
        <x:v>41327652.16895674</x:v>
      </x:c>
      <x:c r="Y37" s="116" t="n">
        <x:f aca="0">SUM(Y35:Y36)</x:f>
        <x:v>45046995.668933526</x:v>
      </x:c>
      <x:c r="Z37" s="116" t="n">
        <x:f aca="0">SUM(B37:M37)</x:f>
        <x:v>46635905.94530013</x:v>
      </x:c>
      <x:c r="AA37" s="116" t="n">
        <x:f aca="0">SUM(N37:Y37)</x:f>
        <x:v>328002314.0086677</x:v>
      </x:c>
      <x:c r="AB37" s="107"/>
      <x:c r="AC37" s="107"/>
    </x:row>
    <x:row r="38" ht="18" hidden="0" customHeight="1">
      <x:c r="A38" s="110" t="s">
        <x:v>208</x:v>
      </x:c>
      <x:c r="B38" s="114" t="n">
        <x:f aca="0">Costs!B15*$B$8</x:f>
        <x:v>2200000</x:v>
      </x:c>
      <x:c r="C38" s="114" t="n">
        <x:f aca="0">Costs!C15*$B$8</x:f>
        <x:v>2200000</x:v>
      </x:c>
      <x:c r="D38" s="114" t="n">
        <x:f aca="0">Costs!D15*$B$8</x:f>
        <x:v>2200000</x:v>
      </x:c>
      <x:c r="E38" s="114" t="n">
        <x:f aca="0">Costs!E15*$B$8</x:f>
        <x:v>2200000</x:v>
      </x:c>
      <x:c r="F38" s="114" t="n">
        <x:f aca="0">Costs!F15*$B$8</x:f>
        <x:v>2200000</x:v>
      </x:c>
      <x:c r="G38" s="114" t="n">
        <x:f aca="0">Costs!G15*$B$8</x:f>
        <x:v>2200000</x:v>
      </x:c>
      <x:c r="H38" s="114" t="n">
        <x:f aca="0">Costs!H15*$B$8</x:f>
        <x:v>2860000</x:v>
      </x:c>
      <x:c r="I38" s="114" t="n">
        <x:f aca="0">Costs!I15*$B$8</x:f>
        <x:v>2860000</x:v>
      </x:c>
      <x:c r="J38" s="114" t="n">
        <x:f aca="0">Costs!J15*$B$8</x:f>
        <x:v>2860000</x:v>
      </x:c>
      <x:c r="K38" s="114" t="n">
        <x:f aca="0">Costs!K15*$B$8</x:f>
        <x:v>2860000</x:v>
      </x:c>
      <x:c r="L38" s="114" t="n">
        <x:f aca="0">Costs!L15*$B$8</x:f>
        <x:v>2860000</x:v>
      </x:c>
      <x:c r="M38" s="114" t="n">
        <x:f aca="0">Costs!M15*$B$8</x:f>
        <x:v>2860000</x:v>
      </x:c>
      <x:c r="N38" s="114" t="n">
        <x:f aca="0">Costs!N15*$B$8</x:f>
        <x:v>3520000.0000000005</x:v>
      </x:c>
      <x:c r="O38" s="114" t="n">
        <x:f aca="0">Costs!O15*$B$8</x:f>
        <x:v>3520000.0000000005</x:v>
      </x:c>
      <x:c r="P38" s="114" t="n">
        <x:f aca="0">Costs!P15*$B$8</x:f>
        <x:v>3520000.0000000005</x:v>
      </x:c>
      <x:c r="Q38" s="114" t="n">
        <x:f aca="0">Costs!Q15*$B$8</x:f>
        <x:v>3520000.0000000005</x:v>
      </x:c>
      <x:c r="R38" s="114" t="n">
        <x:f aca="0">Costs!R15*$B$8</x:f>
        <x:v>3520000.0000000005</x:v>
      </x:c>
      <x:c r="S38" s="114" t="n">
        <x:f aca="0">Costs!S15*$B$8</x:f>
        <x:v>3520000.0000000005</x:v>
      </x:c>
      <x:c r="T38" s="114" t="n">
        <x:f aca="0">Costs!T15*$B$8</x:f>
        <x:v>3520000.0000000005</x:v>
      </x:c>
      <x:c r="U38" s="114" t="n">
        <x:f aca="0">Costs!U15*$B$8</x:f>
        <x:v>3520000.0000000005</x:v>
      </x:c>
      <x:c r="V38" s="114" t="n">
        <x:f aca="0">Costs!V15*$B$8</x:f>
        <x:v>3520000.0000000005</x:v>
      </x:c>
      <x:c r="W38" s="114" t="n">
        <x:f aca="0">Costs!W15*$B$8</x:f>
        <x:v>3520000.0000000005</x:v>
      </x:c>
      <x:c r="X38" s="114" t="n">
        <x:f aca="0">Costs!X15*$B$8</x:f>
        <x:v>3520000.0000000005</x:v>
      </x:c>
      <x:c r="Y38" s="114" t="n">
        <x:f aca="0">Costs!Y15*$B$8</x:f>
        <x:v>3520000.0000000005</x:v>
      </x:c>
      <x:c r="Z38" s="114" t="n">
        <x:f aca="0">SUM(B38:M38)</x:f>
        <x:v>30360000</x:v>
      </x:c>
      <x:c r="AA38" s="114" t="n">
        <x:f aca="0">SUM(N38:Y38)</x:f>
        <x:v>42240000.00000001</x:v>
      </x:c>
      <x:c r="AB38" s="107"/>
      <x:c r="AC38" s="107"/>
    </x:row>
    <x:row r="39" ht="18" hidden="0" customHeight="1">
      <x:c r="A39" s="110" t="s">
        <x:v>211</x:v>
      </x:c>
      <x:c r="B39" s="114" t="n">
        <x:f aca="0">Costs!B18*$B$9</x:f>
        <x:v>1203387.9938252356</x:v>
      </x:c>
      <x:c r="C39" s="114" t="n">
        <x:f aca="0">Costs!C18*$B$9</x:f>
        <x:v>1301103.0989238443</x:v>
      </x:c>
      <x:c r="D39" s="114" t="n">
        <x:f aca="0">Costs!D18*$B$9</x:f>
        <x:v>1406752.6705564607</x:v>
      </x:c>
      <x:c r="E39" s="114" t="n">
        <x:f aca="0">Costs!E18*$B$9</x:f>
        <x:v>1520980.9874056457</x:v>
      </x:c>
      <x:c r="F39" s="114" t="n">
        <x:f aca="0">Costs!F18*$B$9</x:f>
        <x:v>1644484.6435829836</x:v>
      </x:c>
      <x:c r="G39" s="114" t="n">
        <x:f aca="0">Costs!G18*$B$9</x:f>
        <x:v>1778016.7966419219</x:v>
      </x:c>
      <x:c r="H39" s="114" t="n">
        <x:f aca="0">Costs!H18*$B$9</x:f>
        <x:v>1922391.760529246</x:v>
      </x:c>
      <x:c r="I39" s="114" t="n">
        <x:f aca="0">Costs!I18*$B$9</x:f>
        <x:v>2078489.9714842206</x:v>
      </x:c>
      <x:c r="J39" s="114" t="n">
        <x:f aca="0">Costs!J18*$B$9</x:f>
        <x:v>2247263.3571687397</x:v>
      </x:c>
      <x:c r="K39" s="114" t="n">
        <x:f aca="0">Costs!K18*$B$9</x:f>
        <x:v>2429741.1417708416</x:v>
      </x:c>
      <x:c r="L39" s="114" t="n">
        <x:f aca="0">Costs!L18*$B$9</x:f>
        <x:v>2627036.1224826337</x:v>
      </x:c>
      <x:c r="M39" s="114" t="n">
        <x:f aca="0">Costs!M18*$B$9</x:f>
        <x:v>2840351.4556282246</x:v>
      </x:c>
      <x:c r="N39" s="114" t="n">
        <x:f aca="0">Costs!N18*$B$9</x:f>
        <x:v>3833333.333333333</x:v>
      </x:c>
      <x:c r="O39" s="114" t="n">
        <x:f aca="0">Costs!O18*$B$9</x:f>
        <x:v>3833333.333333333</x:v>
      </x:c>
      <x:c r="P39" s="114" t="n">
        <x:f aca="0">Costs!P18*$B$9</x:f>
        <x:v>3833333.333333333</x:v>
      </x:c>
      <x:c r="Q39" s="114" t="n">
        <x:f aca="0">Costs!Q18*$B$9</x:f>
        <x:v>3833333.333333333</x:v>
      </x:c>
      <x:c r="R39" s="114" t="n">
        <x:f aca="0">Costs!R18*$B$9</x:f>
        <x:v>3833333.333333333</x:v>
      </x:c>
      <x:c r="S39" s="114" t="n">
        <x:f aca="0">Costs!S18*$B$9</x:f>
        <x:v>3833333.333333333</x:v>
      </x:c>
      <x:c r="T39" s="114" t="n">
        <x:f aca="0">Costs!T18*$B$9</x:f>
        <x:v>3833333.333333333</x:v>
      </x:c>
      <x:c r="U39" s="114" t="n">
        <x:f aca="0">Costs!U18*$B$9</x:f>
        <x:v>3833333.333333333</x:v>
      </x:c>
      <x:c r="V39" s="114" t="n">
        <x:f aca="0">Costs!V18*$B$9</x:f>
        <x:v>3833333.333333333</x:v>
      </x:c>
      <x:c r="W39" s="114" t="n">
        <x:f aca="0">Costs!W18*$B$9</x:f>
        <x:v>3833333.333333333</x:v>
      </x:c>
      <x:c r="X39" s="114" t="n">
        <x:f aca="0">Costs!X18*$B$9</x:f>
        <x:v>3833333.333333333</x:v>
      </x:c>
      <x:c r="Y39" s="114" t="n">
        <x:f aca="0">Costs!Y18*$B$9</x:f>
        <x:v>3833333.333333333</x:v>
      </x:c>
      <x:c r="Z39" s="114" t="n">
        <x:f aca="0">SUM(B39:M39)</x:f>
        <x:v>23000000</x:v>
      </x:c>
      <x:c r="AA39" s="114" t="n">
        <x:f aca="0">SUM(N39:Y39)</x:f>
        <x:v>46000000</x:v>
      </x:c>
      <x:c r="AB39" s="107"/>
      <x:c r="AC39" s="107"/>
    </x:row>
    <x:row r="40" ht="18" hidden="0" customHeight="1">
      <x:c r="A40" s="110" t="s">
        <x:v>233</x:v>
      </x:c>
      <x:c r="B40" s="114" t="n">
        <x:f aca="0">Costs!B21*$B$10</x:f>
        <x:v>402778.33367035224</x:v>
      </x:c>
      <x:c r="C40" s="114" t="n">
        <x:f aca="0">Costs!C21*$B$10</x:f>
        <x:v>459647.7756672975</x:v>
      </x:c>
      <x:c r="D40" s="114" t="n">
        <x:f aca="0">Costs!D21*$B$10</x:f>
        <x:v>515891.5060759215</x:v>
      </x:c>
      <x:c r="E40" s="114" t="n">
        <x:f aca="0">Costs!E21*$B$10</x:f>
        <x:v>571783.295387076</x:v>
      </x:c>
      <x:c r="F40" s="114" t="n">
        <x:f aca="0">Costs!F21*$B$10</x:f>
        <x:v>627589.021119297</x:v>
      </x:c>
      <x:c r="G40" s="114" t="n">
        <x:f aca="0">Costs!G21*$B$10</x:f>
        <x:v>683568.1104839502</x:v>
      </x:c>
      <x:c r="H40" s="114" t="n">
        <x:f aca="0">Costs!H21*$B$10</x:f>
        <x:v>739974.9177754407</x:v>
      </x:c>
      <x:c r="I40" s="114" t="n">
        <x:f aca="0">Costs!I21*$B$10</x:f>
        <x:v>797060.0446435445</x:v>
      </x:c>
      <x:c r="J40" s="114" t="n">
        <x:f aca="0">Costs!J21*$B$10</x:f>
        <x:v>855071.6109321222</x:v>
      </x:c>
      <x:c r="K40" s="114" t="n">
        <x:f aca="0">Costs!K21*$B$10</x:f>
        <x:v>914256.4833441054</x:v>
      </x:c>
      <x:c r="L40" s="114" t="n">
        <x:f aca="0">Costs!L21*$B$10</x:f>
        <x:v>974861.4688134672</x:v>
      </x:c>
      <x:c r="M40" s="114" t="n">
        <x:f aca="0">Costs!M21*$B$10</x:f>
        <x:v>1037134.47912798</x:v>
      </x:c>
      <x:c r="N40" s="114" t="n">
        <x:f aca="0">Costs!N21*$B$10</x:f>
        <x:v>1097486.8545864385</x:v>
      </x:c>
      <x:c r="O40" s="114" t="n">
        <x:f aca="0">Costs!O21*$B$10</x:f>
        <x:v>1156136.543237874</x:v>
      </x:c>
      <x:c r="P40" s="114" t="n">
        <x:f aca="0">Costs!P21*$B$10</x:f>
        <x:v>1213286.276363343</x:v>
      </x:c>
      <x:c r="Q40" s="114" t="n">
        <x:f aca="0">Costs!Q21*$B$10</x:f>
        <x:v>1269124.8107120416</x:v>
      </x:c>
      <x:c r="R40" s="114" t="n">
        <x:f aca="0">Costs!R21*$B$10</x:f>
        <x:v>1323828.073510011</x:v>
      </x:c>
      <x:c r="S40" s="114" t="n">
        <x:f aca="0">Costs!S21*$B$10</x:f>
        <x:v>1377560.2179969521</x:v>
      </x:c>
      <x:c r="T40" s="114" t="n">
        <x:f aca="0">Costs!T21*$B$10</x:f>
        <x:v>1430474.596629496</x:v>
      </x:c>
      <x:c r="U40" s="114" t="n">
        <x:f aca="0">Costs!U21*$B$10</x:f>
        <x:v>1482714.6585213398</x:v>
      </x:c>
      <x:c r="V40" s="114" t="n">
        <x:f aca="0">Costs!V21*$B$10</x:f>
        <x:v>1534414.7771680825</x:v>
      </x:c>
      <x:c r="W40" s="114" t="n">
        <x:f aca="0">Costs!W21*$B$10</x:f>
        <x:v>1585701.0140237035</x:v>
      </x:c>
      <x:c r="X40" s="114" t="n">
        <x:f aca="0">Costs!X21*$B$10</x:f>
        <x:v>1636691.823053138</x:v>
      </x:c>
      <x:c r="Y40" s="114" t="n">
        <x:f aca="0">Costs!Y21*$B$10</x:f>
        <x:v>1687498.7009782107</x:v>
      </x:c>
      <x:c r="Z40" s="114" t="n">
        <x:f aca="0">SUM(B40:M40)</x:f>
        <x:v>8579617.047040554</x:v>
      </x:c>
      <x:c r="AA40" s="114" t="n">
        <x:f aca="0">SUM(N40:Y40)</x:f>
        <x:v>16794918.346780628</x:v>
      </x:c>
      <x:c r="AB40" s="107"/>
      <x:c r="AC40" s="107"/>
    </x:row>
    <x:row r="41" ht="18" hidden="0" customHeight="1">
      <x:c r="A41" s="115" t="s">
        <x:v>313</x:v>
      </x:c>
      <x:c r="B41" s="116" t="n">
        <x:f aca="0">SUM(B38:B40)+Costs!B24+Costs!B25</x:f>
        <x:v>3971238.9362791576</x:v>
      </x:c>
      <x:c r="C41" s="116" t="n">
        <x:f aca="0">SUM(C38:C40)+Costs!C24+Costs!C25</x:f>
        <x:v>4140658.989982611</x:v>
      </x:c>
      <x:c r="D41" s="116" t="n">
        <x:f aca="0">SUM(D38:D40)+Costs!D24+Costs!D25</x:f>
        <x:v>4317224.569521753</x:v>
      </x:c>
      <x:c r="E41" s="116" t="n">
        <x:f aca="0">SUM(E38:E40)+Costs!E24+Costs!E25</x:f>
        <x:v>4501925.142458916</x:v>
      </x:c>
      <x:c r="F41" s="116" t="n">
        <x:f aca="0">SUM(F38:F40)+Costs!F24+Costs!F25</x:f>
        <x:v>4695792.53977688</x:v>
      </x:c>
      <x:c r="G41" s="116" t="n">
        <x:f aca="0">SUM(G38:G40)+Costs!G24+Costs!G25</x:f>
        <x:v>4899907.022904294</x:v>
      </x:c>
      <x:c r="H41" s="116" t="n">
        <x:f aca="0">SUM(H38:H40)+Costs!H24+Costs!H25</x:f>
        <x:v>5775403.613376541</x:v>
      </x:c>
      <x:c r="I41" s="116" t="n">
        <x:f aca="0">SUM(I38:I40)+Costs!I24+Costs!I25</x:f>
        <x:v>6003478.723426081</x:v>
      </x:c>
      <x:c r="J41" s="116" t="n">
        <x:f aca="0">SUM(J38:J40)+Costs!J24+Costs!J25</x:f>
        <x:v>6245397.127474459</x:v>
      </x:c>
      <x:c r="K41" s="116" t="n">
        <x:f aca="0">SUM(K38:K40)+Costs!K24+Costs!K25</x:f>
        <x:v>6502499.316422105</x:v>
      </x:c>
      <x:c r="L41" s="116" t="n">
        <x:f aca="0">SUM(L38:L40)+Costs!L24+Costs!L25</x:f>
        <x:v>6776209.278812657</x:v>
      </x:c>
      <x:c r="M41" s="116" t="n">
        <x:f aca="0">SUM(M38:M40)+Costs!M24+Costs!M25</x:f>
        <x:v>7068042.7553982865</x:v>
      </x:c>
      <x:c r="N41" s="116" t="n">
        <x:f aca="0">SUM(N38:N40)+Costs!N24+Costs!N25</x:f>
        <x:v>8831751.198366316</x:v>
      </x:c>
      <x:c r="O41" s="116" t="n">
        <x:f aca="0">SUM(O38:O40)+Costs!O24+Costs!O25</x:f>
        <x:v>8907230.79767425</x:v>
      </x:c>
      <x:c r="P41" s="116" t="n">
        <x:f aca="0">SUM(P38:P40)+Costs!P24+Costs!P25</x:f>
        <x:v>8980780.019435722</x:v>
      </x:c>
      <x:c r="Q41" s="116" t="n">
        <x:f aca="0">SUM(Q38:Q40)+Costs!Q24+Costs!Q25</x:f>
        <x:v>9052641.785380134</x:v>
      </x:c>
      <x:c r="R41" s="116" t="n">
        <x:f aca="0">SUM(R38:R40)+Costs!R24+Costs!R25</x:f>
        <x:v>9123042.506198393</x:v>
      </x:c>
      <x:c r="S41" s="116" t="n">
        <x:f aca="0">SUM(S38:S40)+Costs!S24+Costs!S25</x:f>
        <x:v>9192193.43997289</x:v>
      </x:c>
      <x:c r="T41" s="116" t="n">
        <x:f aca="0">SUM(T38:T40)+Costs!T24+Costs!T25</x:f>
        <x:v>9260291.944647817</x:v>
      </x:c>
      <x:c r="U41" s="116" t="n">
        <x:f aca="0">SUM(U38:U40)+Costs!U24+Costs!U25</x:f>
        <x:v>9327522.63299558</x:v>
      </x:c>
      <x:c r="V41" s="116" t="n">
        <x:f aca="0">SUM(V38:V40)+Costs!V24+Costs!V25</x:f>
        <x:v>9394058.437862692</x:v>
      </x:c>
      <x:c r="W41" s="116" t="n">
        <x:f aca="0">SUM(W38:W40)+Costs!W24+Costs!W25</x:f>
        <x:v>9460061.594859492</x:v>
      </x:c>
      <x:c r="X41" s="116" t="n">
        <x:f aca="0">SUM(X38:X40)+Costs!X24+Costs!X25</x:f>
        <x:v>9525684.549088677</x:v>
      </x:c>
      <x:c r="Y41" s="116" t="n">
        <x:f aca="0">SUM(Y38:Y40)+Costs!Y24+Costs!Y25</x:f>
        <x:v>9591070.791983552</x:v>
      </x:c>
      <x:c r="Z41" s="116" t="n">
        <x:f aca="0">SUM(B41:M41)</x:f>
        <x:v>64897778.01583374</x:v>
      </x:c>
      <x:c r="AA41" s="116" t="n">
        <x:f aca="0">SUM(N41:Y41)</x:f>
        <x:v>110646329.69846553</x:v>
      </x:c>
      <x:c r="AB41" s="107"/>
      <x:c r="AC41" s="107"/>
    </x:row>
    <x:row r="42" ht="18" hidden="0" customHeight="1">
      <x:c r="A42" s="115" t="s">
        <x:v>236</x:v>
      </x:c>
      <x:c r="B42" s="116" t="n">
        <x:f aca="0">B37-B41</x:f>
        <x:v>-3745788.7112791575</x:v>
      </x:c>
      <x:c r="C42" s="116" t="n">
        <x:f aca="0">C37-C41</x:f>
        <x:v>-3680740.5309826112</x:v>
      </x:c>
      <x:c r="D42" s="116" t="n">
        <x:f aca="0">D37-D41</x:f>
        <x:v>-3613188.606891753</x:v>
      </x:c>
      <x:c r="E42" s="116" t="n">
        <x:f aca="0">E37-E41</x:f>
        <x:v>-3385234.5114029157</x:v>
      </x:c>
      <x:c r="F42" s="116" t="n">
        <x:f aca="0">F37-F41</x:f>
        <x:v>-2998336.2260276843</x:v>
      </x:c>
      <x:c r="G42" s="116" t="n">
        <x:f aca="0">G37-G41</x:f>
        <x:v>-2453448.691990657</x:v>
      </x:c>
      <x:c r="H42" s="116" t="n">
        <x:f aca="0">H37-H41</x:f>
        <x:v>-2411026.8046981986</x:v>
      </x:c>
      <x:c r="I42" s="116" t="n">
        <x:f aca="0">I37-I41</x:f>
        <x:v>-1551027.0048715398</x:v>
      </x:c>
      <x:c r="J42" s="116" t="n">
        <x:f aca="0">J37-J41</x:f>
        <x:v>-532907.4795754086</x:v>
      </x:c>
      <x:c r="K42" s="116" t="n">
        <x:f aca="0">K37-K41</x:f>
        <x:v>644373.0170886973</x:v>
      </x:c>
      <x:c r="L42" s="116" t="n">
        <x:f aca="0">L37-L41</x:f>
        <x:v>1982357.7171948692</x:v>
      </x:c>
      <x:c r="M42" s="116" t="n">
        <x:f aca="0">M37-M41</x:f>
        <x:v>3483095.762902757</x:v>
      </x:c>
      <x:c r="N42" s="116" t="n">
        <x:f aca="0">N37-N41</x:f>
        <x:v>3682033.304666003</x:v>
      </x:c>
      <x:c r="O42" s="116" t="n">
        <x:f aca="0">O37-O41</x:f>
        <x:v>5743104.887744516</x:v>
      </x:c>
      <x:c r="P42" s="116" t="n">
        <x:f aca="0">P37-P41</x:f>
        <x:v>7984422.283363882</x:v>
      </x:c>
      <x:c r="Q42" s="116" t="n">
        <x:f aca="0">Q37-Q41</x:f>
        <x:v>10400236.118076092</x:v>
      </x:c>
      <x:c r="R42" s="116" t="n">
        <x:f aca="0">R37-R41</x:f>
        <x:v>12985239.43288192</x:v>
      </x:c>
      <x:c r="S42" s="116" t="n">
        <x:f aca="0">S37-S41</x:f>
        <x:v>15734547.622753667</x:v>
      </x:c>
      <x:c r="T42" s="116" t="n">
        <x:f aca="0">T37-T41</x:f>
        <x:v>18643679.503442563</x:v>
      </x:c>
      <x:c r="U42" s="116" t="n">
        <x:f aca="0">U37-U41</x:f>
        <x:v>21708539.447807003</x:v>
      </x:c>
      <x:c r="V42" s="116" t="n">
        <x:f aca="0">V37-V41</x:f>
        <x:v>24925400.53708701</x:v>
      </x:c>
      <x:c r="W42" s="116" t="n">
        <x:f aca="0">W37-W41</x:f>
        <x:v>28290888.675561514</x:v>
      </x:c>
      <x:c r="X42" s="116" t="n">
        <x:f aca="0">X37-X41</x:f>
        <x:v>31801967.619868062</x:v>
      </x:c>
      <x:c r="Y42" s="116" t="n">
        <x:f aca="0">Y37-Y41</x:f>
        <x:v>35455924.87694997</x:v>
      </x:c>
      <x:c r="Z42" s="116" t="n">
        <x:f aca="0">SUM(B42:M42)</x:f>
        <x:v>-18261872.070533603</x:v>
      </x:c>
      <x:c r="AA42" s="116" t="n">
        <x:f aca="0">SUM(N42:Y42)</x:f>
        <x:v>217355984.3102022</x:v>
      </x:c>
      <x:c r="AB42" s="107"/>
      <x:c r="AC42" s="107"/>
    </x:row>
    <x:row r="43" ht="18" hidden="0" customHeight="1">
      <x:c r="A43" s="110" t="s">
        <x:v>251</x:v>
      </x:c>
      <x:c r="B43" s="114" t="n">
        <x:f aca="0">'P&amp;L'!B22*$B$11</x:f>
        <x:v>383333.33333333296</x:v>
      </x:c>
      <x:c r="C43" s="114" t="n">
        <x:f aca="0">'P&amp;L'!C22*$B$11</x:f>
        <x:v>383333.33333333326</x:v>
      </x:c>
      <x:c r="D43" s="114" t="n">
        <x:f aca="0">'P&amp;L'!D22*$B$11</x:f>
        <x:v>383333.33333333326</x:v>
      </x:c>
      <x:c r="E43" s="114" t="n">
        <x:f aca="0">'P&amp;L'!E22*$B$11</x:f>
        <x:v>383333.33333333326</x:v>
      </x:c>
      <x:c r="F43" s="114" t="n">
        <x:f aca="0">'P&amp;L'!F22*$B$11</x:f>
        <x:v>383333.33333333326</x:v>
      </x:c>
      <x:c r="G43" s="114" t="n">
        <x:f aca="0">'P&amp;L'!G22*$B$11</x:f>
        <x:v>383333.33333333326</x:v>
      </x:c>
      <x:c r="H43" s="114" t="n">
        <x:f aca="0">'P&amp;L'!H22*$B$11</x:f>
        <x:v>383333.33333333326</x:v>
      </x:c>
      <x:c r="I43" s="114" t="n">
        <x:f aca="0">'P&amp;L'!I22*$B$11</x:f>
        <x:v>383333.33333333326</x:v>
      </x:c>
      <x:c r="J43" s="114" t="n">
        <x:f aca="0">'P&amp;L'!J22*$B$11</x:f>
        <x:v>383333.33333333326</x:v>
      </x:c>
      <x:c r="K43" s="114" t="n">
        <x:f aca="0">'P&amp;L'!K22*$B$11</x:f>
        <x:v>383333.33333333326</x:v>
      </x:c>
      <x:c r="L43" s="114" t="n">
        <x:f aca="0">'P&amp;L'!L22*$B$11</x:f>
        <x:v>383333.33333333326</x:v>
      </x:c>
      <x:c r="M43" s="114" t="n">
        <x:f aca="0">'P&amp;L'!M22*$B$11</x:f>
        <x:v>383333.33333333326</x:v>
      </x:c>
      <x:c r="N43" s="114" t="n">
        <x:f aca="0">'P&amp;L'!N22*$B$11</x:f>
        <x:v>383333.33333333326</x:v>
      </x:c>
      <x:c r="O43" s="114" t="n">
        <x:f aca="0">'P&amp;L'!O22*$B$11</x:f>
        <x:v>383333.33333333326</x:v>
      </x:c>
      <x:c r="P43" s="114" t="n">
        <x:f aca="0">'P&amp;L'!P22*$B$11</x:f>
        <x:v>383333.33333333326</x:v>
      </x:c>
      <x:c r="Q43" s="114" t="n">
        <x:f aca="0">'P&amp;L'!Q22*$B$11</x:f>
        <x:v>383333.33333333326</x:v>
      </x:c>
      <x:c r="R43" s="114" t="n">
        <x:f aca="0">'P&amp;L'!R22*$B$11</x:f>
        <x:v>383333.33333333326</x:v>
      </x:c>
      <x:c r="S43" s="114" t="n">
        <x:f aca="0">'P&amp;L'!S22*$B$11</x:f>
        <x:v>383333.33333333326</x:v>
      </x:c>
      <x:c r="T43" s="114" t="n">
        <x:f aca="0">'P&amp;L'!T22*$B$11</x:f>
        <x:v>383333.33333333326</x:v>
      </x:c>
      <x:c r="U43" s="114" t="n">
        <x:f aca="0">'P&amp;L'!U22*$B$11</x:f>
        <x:v>383333.33333333326</x:v>
      </x:c>
      <x:c r="V43" s="114" t="n">
        <x:f aca="0">'P&amp;L'!V22*$B$11</x:f>
        <x:v>383333.33333333326</x:v>
      </x:c>
      <x:c r="W43" s="114" t="n">
        <x:f aca="0">'P&amp;L'!W22*$B$11</x:f>
        <x:v>383333.33333333326</x:v>
      </x:c>
      <x:c r="X43" s="114" t="n">
        <x:f aca="0">'P&amp;L'!X22*$B$11</x:f>
        <x:v>383333.33333333326</x:v>
      </x:c>
      <x:c r="Y43" s="114" t="n">
        <x:f aca="0">'P&amp;L'!Y22*$B$11</x:f>
        <x:v>383333.33333333326</x:v>
      </x:c>
      <x:c r="Z43" s="114" t="n">
        <x:f aca="0">SUM(B43:M43)</x:f>
        <x:v>4599999.999999997</x:v>
      </x:c>
      <x:c r="AA43" s="114" t="n">
        <x:f aca="0">SUM(N43:Y43)</x:f>
        <x:v>4599999.999999998</x:v>
      </x:c>
      <x:c r="AB43" s="107"/>
      <x:c r="AC43" s="107"/>
    </x:row>
    <x:row r="44" ht="18" hidden="0" customHeight="1">
      <x:c r="A44" s="110" t="s">
        <x:v>239</x:v>
      </x:c>
      <x:c r="B44" s="114" t="n">
        <x:f aca="0">B42-B43</x:f>
        <x:v>-4129122.0446124906</x:v>
      </x:c>
      <x:c r="C44" s="114" t="n">
        <x:f aca="0">C42-C43</x:f>
        <x:v>-4064073.8643159447</x:v>
      </x:c>
      <x:c r="D44" s="114" t="n">
        <x:f aca="0">D42-D43</x:f>
        <x:v>-3996521.940225086</x:v>
      </x:c>
      <x:c r="E44" s="114" t="n">
        <x:f aca="0">E42-E43</x:f>
        <x:v>-3768567.844736249</x:v>
      </x:c>
      <x:c r="F44" s="114" t="n">
        <x:f aca="0">F42-F43</x:f>
        <x:v>-3381669.5593610173</x:v>
      </x:c>
      <x:c r="G44" s="114" t="n">
        <x:f aca="0">G42-G43</x:f>
        <x:v>-2836782.02532399</x:v>
      </x:c>
      <x:c r="H44" s="114" t="n">
        <x:f aca="0">H42-H43</x:f>
        <x:v>-2794360.138031532</x:v>
      </x:c>
      <x:c r="I44" s="114" t="n">
        <x:f aca="0">I42-I43</x:f>
        <x:v>-1934360.338204873</x:v>
      </x:c>
      <x:c r="J44" s="114" t="n">
        <x:f aca="0">J42-J43</x:f>
        <x:v>-916240.8129087419</x:v>
      </x:c>
      <x:c r="K44" s="114" t="n">
        <x:f aca="0">K42-K43</x:f>
        <x:v>261039.68375536404</x:v>
      </x:c>
      <x:c r="L44" s="114" t="n">
        <x:f aca="0">L42-L43</x:f>
        <x:v>1599024.383861536</x:v>
      </x:c>
      <x:c r="M44" s="114" t="n">
        <x:f aca="0">M42-M43</x:f>
        <x:v>3099762.429569424</x:v>
      </x:c>
      <x:c r="N44" s="114" t="n">
        <x:f aca="0">N42-N43</x:f>
        <x:v>3298699.97133267</x:v>
      </x:c>
      <x:c r="O44" s="114" t="n">
        <x:f aca="0">O42-O43</x:f>
        <x:v>5359771.554411183</x:v>
      </x:c>
      <x:c r="P44" s="114" t="n">
        <x:f aca="0">P42-P43</x:f>
        <x:v>7601088.950030549</x:v>
      </x:c>
      <x:c r="Q44" s="114" t="n">
        <x:f aca="0">Q42-Q43</x:f>
        <x:v>10016902.784742758</x:v>
      </x:c>
      <x:c r="R44" s="114" t="n">
        <x:f aca="0">R42-R43</x:f>
        <x:v>12601906.099548586</x:v>
      </x:c>
      <x:c r="S44" s="114" t="n">
        <x:f aca="0">S42-S43</x:f>
        <x:v>15351214.289420333</x:v>
      </x:c>
      <x:c r="T44" s="114" t="n">
        <x:f aca="0">T42-T43</x:f>
        <x:v>18260346.17010923</x:v>
      </x:c>
      <x:c r="U44" s="114" t="n">
        <x:f aca="0">U42-U43</x:f>
        <x:v>21325206.11447367</x:v>
      </x:c>
      <x:c r="V44" s="114" t="n">
        <x:f aca="0">V42-V43</x:f>
        <x:v>24542067.203753676</x:v>
      </x:c>
      <x:c r="W44" s="114" t="n">
        <x:f aca="0">W42-W43</x:f>
        <x:v>27907555.34222818</x:v>
      </x:c>
      <x:c r="X44" s="114" t="n">
        <x:f aca="0">X42-X43</x:f>
        <x:v>31418634.28653473</x:v>
      </x:c>
      <x:c r="Y44" s="114" t="n">
        <x:f aca="0">Y42-Y43</x:f>
        <x:v>35072591.54361664</x:v>
      </x:c>
      <x:c r="Z44" s="114" t="n">
        <x:f aca="0">SUM(B44:M44)</x:f>
        <x:v>-22861872.070533603</x:v>
      </x:c>
      <x:c r="AA44" s="114" t="n">
        <x:f aca="0">SUM(N44:Y44)</x:f>
        <x:v>212755984.31020218</x:v>
      </x:c>
      <x:c r="AB44" s="107"/>
      <x:c r="AC44" s="107"/>
    </x:row>
    <x:row r="45" ht="18" hidden="0" customHeight="1">
      <x:c r="A45" s="110" t="s">
        <x:v>314</x:v>
      </x:c>
      <x:c r="B45" s="114" t="n">
        <x:f aca="0">MAX(B44,0)*Assumptions!$B$70</x:f>
        <x:v>0</x:v>
      </x:c>
      <x:c r="C45" s="114" t="n">
        <x:f aca="0">MAX(C44,0)*Assumptions!$B$70</x:f>
        <x:v>0</x:v>
      </x:c>
      <x:c r="D45" s="114" t="n">
        <x:f aca="0">MAX(D44,0)*Assumptions!$B$70</x:f>
        <x:v>0</x:v>
      </x:c>
      <x:c r="E45" s="114" t="n">
        <x:f aca="0">MAX(E44,0)*Assumptions!$B$70</x:f>
        <x:v>0</x:v>
      </x:c>
      <x:c r="F45" s="114" t="n">
        <x:f aca="0">MAX(F44,0)*Assumptions!$B$70</x:f>
        <x:v>0</x:v>
      </x:c>
      <x:c r="G45" s="114" t="n">
        <x:f aca="0">MAX(G44,0)*Assumptions!$B$70</x:f>
        <x:v>0</x:v>
      </x:c>
      <x:c r="H45" s="114" t="n">
        <x:f aca="0">MAX(H44,0)*Assumptions!$B$70</x:f>
        <x:v>0</x:v>
      </x:c>
      <x:c r="I45" s="114" t="n">
        <x:f aca="0">MAX(I44,0)*Assumptions!$B$70</x:f>
        <x:v>0</x:v>
      </x:c>
      <x:c r="J45" s="114" t="n">
        <x:f aca="0">MAX(J44,0)*Assumptions!$B$70</x:f>
        <x:v>0</x:v>
      </x:c>
      <x:c r="K45" s="114" t="n">
        <x:f aca="0">MAX(K44,0)*Assumptions!$B$70</x:f>
        <x:v>52207.93675107281</x:v>
      </x:c>
      <x:c r="L45" s="114" t="n">
        <x:f aca="0">MAX(L44,0)*Assumptions!$B$70</x:f>
        <x:v>319804.8767723072</x:v>
      </x:c>
      <x:c r="M45" s="114" t="n">
        <x:f aca="0">MAX(M44,0)*Assumptions!$B$70</x:f>
        <x:v>619952.4859138848</x:v>
      </x:c>
      <x:c r="N45" s="114" t="n">
        <x:f aca="0">MAX(N44,0)*Assumptions!$B$70</x:f>
        <x:v>659739.9942665341</x:v>
      </x:c>
      <x:c r="O45" s="114" t="n">
        <x:f aca="0">MAX(O44,0)*Assumptions!$B$70</x:f>
        <x:v>1071954.3108822366</x:v>
      </x:c>
      <x:c r="P45" s="114" t="n">
        <x:f aca="0">MAX(P44,0)*Assumptions!$B$70</x:f>
        <x:v>1520217.79000611</x:v>
      </x:c>
      <x:c r="Q45" s="114" t="n">
        <x:f aca="0">MAX(Q44,0)*Assumptions!$B$70</x:f>
        <x:v>2003380.5569485517</x:v>
      </x:c>
      <x:c r="R45" s="114" t="n">
        <x:f aca="0">MAX(R44,0)*Assumptions!$B$70</x:f>
        <x:v>2520381.2199097173</x:v>
      </x:c>
      <x:c r="S45" s="114" t="n">
        <x:f aca="0">MAX(S44,0)*Assumptions!$B$70</x:f>
        <x:v>3070242.8578840666</x:v>
      </x:c>
      <x:c r="T45" s="114" t="n">
        <x:f aca="0">MAX(T44,0)*Assumptions!$B$70</x:f>
        <x:v>3652069.234021846</x:v>
      </x:c>
      <x:c r="U45" s="114" t="n">
        <x:f aca="0">MAX(U44,0)*Assumptions!$B$70</x:f>
        <x:v>4265041.222894735</x:v>
      </x:c>
      <x:c r="V45" s="114" t="n">
        <x:f aca="0">MAX(V44,0)*Assumptions!$B$70</x:f>
        <x:v>4908413.440750736</x:v>
      </x:c>
      <x:c r="W45" s="114" t="n">
        <x:f aca="0">MAX(W44,0)*Assumptions!$B$70</x:f>
        <x:v>5581511.068445637</x:v>
      </x:c>
      <x:c r="X45" s="114" t="n">
        <x:f aca="0">MAX(X44,0)*Assumptions!$B$70</x:f>
        <x:v>6283726.857306946</x:v>
      </x:c>
      <x:c r="Y45" s="114" t="n">
        <x:f aca="0">MAX(Y44,0)*Assumptions!$B$70</x:f>
        <x:v>7014518.308723328</x:v>
      </x:c>
      <x:c r="Z45" s="114" t="n">
        <x:f aca="0">SUM(B45:M45)</x:f>
        <x:v>991965.2994372649</x:v>
      </x:c>
      <x:c r="AA45" s="114" t="n">
        <x:f aca="0">SUM(N45:Y45)</x:f>
        <x:v>42551196.862040445</x:v>
      </x:c>
      <x:c r="AB45" s="107"/>
      <x:c r="AC45" s="107"/>
    </x:row>
    <x:row r="46" ht="18" hidden="0" customHeight="1">
      <x:c r="A46" s="110" t="s">
        <x:v>250</x:v>
      </x:c>
      <x:c r="B46" s="114" t="n">
        <x:f aca="0">B44-B45</x:f>
        <x:v>-4129122.0446124906</x:v>
      </x:c>
      <x:c r="C46" s="114" t="n">
        <x:f aca="0">C44-C45</x:f>
        <x:v>-4064073.8643159447</x:v>
      </x:c>
      <x:c r="D46" s="114" t="n">
        <x:f aca="0">D44-D45</x:f>
        <x:v>-3996521.940225086</x:v>
      </x:c>
      <x:c r="E46" s="114" t="n">
        <x:f aca="0">E44-E45</x:f>
        <x:v>-3768567.844736249</x:v>
      </x:c>
      <x:c r="F46" s="114" t="n">
        <x:f aca="0">F44-F45</x:f>
        <x:v>-3381669.5593610173</x:v>
      </x:c>
      <x:c r="G46" s="114" t="n">
        <x:f aca="0">G44-G45</x:f>
        <x:v>-2836782.02532399</x:v>
      </x:c>
      <x:c r="H46" s="114" t="n">
        <x:f aca="0">H44-H45</x:f>
        <x:v>-2794360.138031532</x:v>
      </x:c>
      <x:c r="I46" s="114" t="n">
        <x:f aca="0">I44-I45</x:f>
        <x:v>-1934360.338204873</x:v>
      </x:c>
      <x:c r="J46" s="114" t="n">
        <x:f aca="0">J44-J45</x:f>
        <x:v>-916240.8129087419</x:v>
      </x:c>
      <x:c r="K46" s="114" t="n">
        <x:f aca="0">K44-K45</x:f>
        <x:v>208831.74700429122</x:v>
      </x:c>
      <x:c r="L46" s="114" t="n">
        <x:f aca="0">L44-L45</x:f>
        <x:v>1279219.5070892288</x:v>
      </x:c>
      <x:c r="M46" s="114" t="n">
        <x:f aca="0">M44-M45</x:f>
        <x:v>2479809.9436555393</x:v>
      </x:c>
      <x:c r="N46" s="114" t="n">
        <x:f aca="0">N44-N45</x:f>
        <x:v>2638959.977066136</x:v>
      </x:c>
      <x:c r="O46" s="114" t="n">
        <x:f aca="0">O44-O45</x:f>
        <x:v>4287817.243528946</x:v>
      </x:c>
      <x:c r="P46" s="114" t="n">
        <x:f aca="0">P44-P45</x:f>
        <x:v>6080871.16002444</x:v>
      </x:c>
      <x:c r="Q46" s="114" t="n">
        <x:f aca="0">Q44-Q45</x:f>
        <x:v>8013522.227794206</x:v>
      </x:c>
      <x:c r="R46" s="114" t="n">
        <x:f aca="0">R44-R45</x:f>
        <x:v>10081524.87963887</x:v>
      </x:c>
      <x:c r="S46" s="114" t="n">
        <x:f aca="0">S44-S45</x:f>
        <x:v>12280971.431536267</x:v>
      </x:c>
      <x:c r="T46" s="114" t="n">
        <x:f aca="0">T44-T45</x:f>
        <x:v>14608276.936087385</x:v>
      </x:c>
      <x:c r="U46" s="114" t="n">
        <x:f aca="0">U44-U45</x:f>
        <x:v>17060164.891578935</x:v>
      </x:c>
      <x:c r="V46" s="114" t="n">
        <x:f aca="0">V44-V45</x:f>
        <x:v>19633653.76300294</x:v>
      </x:c>
      <x:c r="W46" s="114" t="n">
        <x:f aca="0">W44-W45</x:f>
        <x:v>22326044.273782544</x:v>
      </x:c>
      <x:c r="X46" s="114" t="n">
        <x:f aca="0">X44-X45</x:f>
        <x:v>25134907.429227784</x:v>
      </x:c>
      <x:c r="Y46" s="114" t="n">
        <x:f aca="0">Y44-Y45</x:f>
        <x:v>28058073.23489331</x:v>
      </x:c>
      <x:c r="Z46" s="114" t="n">
        <x:f aca="0">SUM(B46:M46)</x:f>
        <x:v>-23853837.369970866</x:v>
      </x:c>
      <x:c r="AA46" s="114" t="n">
        <x:f aca="0">SUM(N46:Y46)</x:f>
        <x:v>170204787.44816178</x:v>
      </x:c>
      <x:c r="AB46" s="107"/>
      <x:c r="AC46" s="107"/>
    </x:row>
    <x:row r="47" ht="18" hidden="0" customHeight="1">
      <x:c r="A47" s="110" t="s">
        <x:v>315</x:v>
      </x:c>
      <x:c r="B47" s="114" t="n">
        <x:f aca="0">B46+B43</x:f>
        <x:v>-3745788.7112791575</x:v>
      </x:c>
      <x:c r="C47" s="114" t="n">
        <x:f aca="0">C46+C43</x:f>
        <x:v>-3680740.5309826117</x:v>
      </x:c>
      <x:c r="D47" s="114" t="n">
        <x:f aca="0">D46+D43</x:f>
        <x:v>-3613188.606891753</x:v>
      </x:c>
      <x:c r="E47" s="114" t="n">
        <x:f aca="0">E46+E43</x:f>
        <x:v>-3385234.511402916</x:v>
      </x:c>
      <x:c r="F47" s="114" t="n">
        <x:f aca="0">F46+F43</x:f>
        <x:v>-2998336.2260276843</x:v>
      </x:c>
      <x:c r="G47" s="114" t="n">
        <x:f aca="0">G46+G43</x:f>
        <x:v>-2453448.691990657</x:v>
      </x:c>
      <x:c r="H47" s="114" t="n">
        <x:f aca="0">H46+H43</x:f>
        <x:v>-2411026.804698199</x:v>
      </x:c>
      <x:c r="I47" s="114" t="n">
        <x:f aca="0">I46+I43</x:f>
        <x:v>-1551027.0048715398</x:v>
      </x:c>
      <x:c r="J47" s="114" t="n">
        <x:f aca="0">J46+J43</x:f>
        <x:v>-532907.4795754086</x:v>
      </x:c>
      <x:c r="K47" s="114" t="n">
        <x:f aca="0">K46+K43</x:f>
        <x:v>592165.0803376245</x:v>
      </x:c>
      <x:c r="L47" s="114" t="n">
        <x:f aca="0">L46+L43</x:f>
        <x:v>1662552.840422562</x:v>
      </x:c>
      <x:c r="M47" s="114" t="n">
        <x:f aca="0">M46+M43</x:f>
        <x:v>2863143.2769888723</x:v>
      </x:c>
      <x:c r="N47" s="114" t="n">
        <x:f aca="0">N46+N43</x:f>
        <x:v>3022293.310399469</x:v>
      </x:c>
      <x:c r="O47" s="114" t="n">
        <x:f aca="0">O46+O43</x:f>
        <x:v>4671150.576862279</x:v>
      </x:c>
      <x:c r="P47" s="114" t="n">
        <x:f aca="0">P46+P43</x:f>
        <x:v>6464204.493357773</x:v>
      </x:c>
      <x:c r="Q47" s="114" t="n">
        <x:f aca="0">Q46+Q43</x:f>
        <x:v>8396855.56112754</x:v>
      </x:c>
      <x:c r="R47" s="114" t="n">
        <x:f aca="0">R46+R43</x:f>
        <x:v>10464858.212972203</x:v>
      </x:c>
      <x:c r="S47" s="114" t="n">
        <x:f aca="0">S46+S43</x:f>
        <x:v>12664304.7648696</x:v>
      </x:c>
      <x:c r="T47" s="114" t="n">
        <x:f aca="0">T46+T43</x:f>
        <x:v>14991610.269420719</x:v>
      </x:c>
      <x:c r="U47" s="114" t="n">
        <x:f aca="0">U46+U43</x:f>
        <x:v>17443498.224912267</x:v>
      </x:c>
      <x:c r="V47" s="114" t="n">
        <x:f aca="0">V46+V43</x:f>
        <x:v>20016987.09633627</x:v>
      </x:c>
      <x:c r="W47" s="114" t="n">
        <x:f aca="0">W46+W43</x:f>
        <x:v>22709377.607115876</x:v>
      </x:c>
      <x:c r="X47" s="114" t="n">
        <x:f aca="0">X46+X43</x:f>
        <x:v>25518240.762561116</x:v>
      </x:c>
      <x:c r="Y47" s="114" t="n">
        <x:f aca="0">Y46+Y43</x:f>
        <x:v>28441406.568226643</x:v>
      </x:c>
      <x:c r="Z47" s="114" t="n">
        <x:f aca="0">SUM(B47:M47)</x:f>
        <x:v>-19253837.36997087</x:v>
      </x:c>
      <x:c r="AA47" s="114" t="n">
        <x:f aca="0">SUM(N47:Y47)</x:f>
        <x:v>174804787.44816175</x:v>
      </x:c>
      <x:c r="AB47" s="107"/>
      <x:c r="AC47" s="107"/>
    </x:row>
    <x:row r="48" ht="18" hidden="0" customHeight="1">
      <x:c r="A48" s="110" t="s">
        <x:v>316</x:v>
      </x:c>
      <x:c r="B48" s="114" t="n">
        <x:f aca="0">-(Costs!B14+Costs!B26)*$B$11</x:f>
        <x:v>-9200000</x:v>
      </x:c>
      <x:c r="C48" s="114" t="n">
        <x:f aca="0">-(Costs!C14+Costs!C26)*$B$11</x:f>
        <x:v>0</x:v>
      </x:c>
      <x:c r="D48" s="114" t="n">
        <x:f aca="0">-(Costs!D14+Costs!D26)*$B$11</x:f>
        <x:v>0</x:v>
      </x:c>
      <x:c r="E48" s="114" t="n">
        <x:f aca="0">-(Costs!E14+Costs!E26)*$B$11</x:f>
        <x:v>0</x:v>
      </x:c>
      <x:c r="F48" s="114" t="n">
        <x:f aca="0">-(Costs!F14+Costs!F26)*$B$11</x:f>
        <x:v>0</x:v>
      </x:c>
      <x:c r="G48" s="114" t="n">
        <x:f aca="0">-(Costs!G14+Costs!G26)*$B$11</x:f>
        <x:v>0</x:v>
      </x:c>
      <x:c r="H48" s="114" t="n">
        <x:f aca="0">-(Costs!H14+Costs!H26)*$B$11</x:f>
        <x:v>0</x:v>
      </x:c>
      <x:c r="I48" s="114" t="n">
        <x:f aca="0">-(Costs!I14+Costs!I26)*$B$11</x:f>
        <x:v>0</x:v>
      </x:c>
      <x:c r="J48" s="114" t="n">
        <x:f aca="0">-(Costs!J14+Costs!J26)*$B$11</x:f>
        <x:v>0</x:v>
      </x:c>
      <x:c r="K48" s="114" t="n">
        <x:f aca="0">-(Costs!K14+Costs!K26)*$B$11</x:f>
        <x:v>0</x:v>
      </x:c>
      <x:c r="L48" s="114" t="n">
        <x:f aca="0">-(Costs!L14+Costs!L26)*$B$11</x:f>
        <x:v>0</x:v>
      </x:c>
      <x:c r="M48" s="114" t="n">
        <x:f aca="0">-(Costs!M14+Costs!M26)*$B$11</x:f>
        <x:v>0</x:v>
      </x:c>
      <x:c r="N48" s="114" t="n">
        <x:f aca="0">-(Costs!N14+Costs!N26)*$B$11</x:f>
        <x:v>0</x:v>
      </x:c>
      <x:c r="O48" s="114" t="n">
        <x:f aca="0">-(Costs!O14+Costs!O26)*$B$11</x:f>
        <x:v>0</x:v>
      </x:c>
      <x:c r="P48" s="114" t="n">
        <x:f aca="0">-(Costs!P14+Costs!P26)*$B$11</x:f>
        <x:v>0</x:v>
      </x:c>
      <x:c r="Q48" s="114" t="n">
        <x:f aca="0">-(Costs!Q14+Costs!Q26)*$B$11</x:f>
        <x:v>0</x:v>
      </x:c>
      <x:c r="R48" s="114" t="n">
        <x:f aca="0">-(Costs!R14+Costs!R26)*$B$11</x:f>
        <x:v>0</x:v>
      </x:c>
      <x:c r="S48" s="114" t="n">
        <x:f aca="0">-(Costs!S14+Costs!S26)*$B$11</x:f>
        <x:v>0</x:v>
      </x:c>
      <x:c r="T48" s="114" t="n">
        <x:f aca="0">-(Costs!T14+Costs!T26)*$B$11</x:f>
        <x:v>0</x:v>
      </x:c>
      <x:c r="U48" s="114" t="n">
        <x:f aca="0">-(Costs!U14+Costs!U26)*$B$11</x:f>
        <x:v>0</x:v>
      </x:c>
      <x:c r="V48" s="114" t="n">
        <x:f aca="0">-(Costs!V14+Costs!V26)*$B$11</x:f>
        <x:v>0</x:v>
      </x:c>
      <x:c r="W48" s="114" t="n">
        <x:f aca="0">-(Costs!W14+Costs!W26)*$B$11</x:f>
        <x:v>0</x:v>
      </x:c>
      <x:c r="X48" s="114" t="n">
        <x:f aca="0">-(Costs!X14+Costs!X26)*$B$11</x:f>
        <x:v>0</x:v>
      </x:c>
      <x:c r="Y48" s="114" t="n">
        <x:f aca="0">-(Costs!Y14+Costs!Y26)*$B$11</x:f>
        <x:v>0</x:v>
      </x:c>
      <x:c r="Z48" s="114" t="n">
        <x:f aca="0">SUM(B48:M48)</x:f>
        <x:v>-9200000</x:v>
      </x:c>
      <x:c r="AA48" s="114" t="n">
        <x:f aca="0">SUM(N48:Y48)</x:f>
        <x:v>0</x:v>
      </x:c>
      <x:c r="AB48" s="107"/>
      <x:c r="AC48" s="107"/>
    </x:row>
    <x:row r="49" ht="18" hidden="0" customHeight="1">
      <x:c r="A49" s="110" t="s">
        <x:v>255</x:v>
      </x:c>
      <x:c r="B49" s="114" t="n">
        <x:f aca="0">0</x:f>
        <x:v>0</x:v>
      </x:c>
      <x:c r="C49" s="114" t="n">
        <x:f aca="0">0</x:f>
        <x:v>0</x:v>
      </x:c>
      <x:c r="D49" s="114" t="n">
        <x:f aca="0">0</x:f>
        <x:v>0</x:v>
      </x:c>
      <x:c r="E49" s="114" t="n">
        <x:f aca="0">0</x:f>
        <x:v>0</x:v>
      </x:c>
      <x:c r="F49" s="114" t="n">
        <x:f aca="0">0</x:f>
        <x:v>0</x:v>
      </x:c>
      <x:c r="G49" s="114" t="n">
        <x:f aca="0">0</x:f>
        <x:v>0</x:v>
      </x:c>
      <x:c r="H49" s="114" t="n">
        <x:f aca="0">0</x:f>
        <x:v>0</x:v>
      </x:c>
      <x:c r="I49" s="114" t="n">
        <x:f aca="0">0</x:f>
        <x:v>0</x:v>
      </x:c>
      <x:c r="J49" s="114" t="n">
        <x:f aca="0">0</x:f>
        <x:v>0</x:v>
      </x:c>
      <x:c r="K49" s="114" t="n">
        <x:f aca="0">0</x:f>
        <x:v>0</x:v>
      </x:c>
      <x:c r="L49" s="114" t="n">
        <x:f aca="0">0</x:f>
        <x:v>0</x:v>
      </x:c>
      <x:c r="M49" s="114" t="n">
        <x:f aca="0">0</x:f>
        <x:v>0</x:v>
      </x:c>
      <x:c r="N49" s="114" t="n">
        <x:f aca="0">0</x:f>
        <x:v>0</x:v>
      </x:c>
      <x:c r="O49" s="114" t="n">
        <x:f aca="0">0</x:f>
        <x:v>0</x:v>
      </x:c>
      <x:c r="P49" s="114" t="n">
        <x:f aca="0">0</x:f>
        <x:v>0</x:v>
      </x:c>
      <x:c r="Q49" s="114" t="n">
        <x:f aca="0">0</x:f>
        <x:v>0</x:v>
      </x:c>
      <x:c r="R49" s="114" t="n">
        <x:f aca="0">0</x:f>
        <x:v>0</x:v>
      </x:c>
      <x:c r="S49" s="114" t="n">
        <x:f aca="0">0</x:f>
        <x:v>0</x:v>
      </x:c>
      <x:c r="T49" s="114" t="n">
        <x:f aca="0">0</x:f>
        <x:v>0</x:v>
      </x:c>
      <x:c r="U49" s="114" t="n">
        <x:f aca="0">0</x:f>
        <x:v>0</x:v>
      </x:c>
      <x:c r="V49" s="114" t="n">
        <x:f aca="0">0</x:f>
        <x:v>0</x:v>
      </x:c>
      <x:c r="W49" s="114" t="n">
        <x:f aca="0">0</x:f>
        <x:v>0</x:v>
      </x:c>
      <x:c r="X49" s="114" t="n">
        <x:f aca="0">0</x:f>
        <x:v>0</x:v>
      </x:c>
      <x:c r="Y49" s="114" t="n">
        <x:f aca="0">0</x:f>
        <x:v>0</x:v>
      </x:c>
      <x:c r="Z49" s="114" t="n">
        <x:f aca="0">SUM(B49:M49)</x:f>
        <x:v>0</x:v>
      </x:c>
      <x:c r="AA49" s="114" t="n">
        <x:f aca="0">SUM(N49:Y49)</x:f>
        <x:v>0</x:v>
      </x:c>
      <x:c r="AB49" s="107"/>
      <x:c r="AC49" s="107"/>
    </x:row>
    <x:row r="50" ht="18" hidden="0" customHeight="1">
      <x:c r="A50" s="115" t="s">
        <x:v>259</x:v>
      </x:c>
      <x:c r="B50" s="116" t="n">
        <x:f aca="0">SUM(B47,B48,B49)</x:f>
        <x:v>-12945788.711279158</x:v>
      </x:c>
      <x:c r="C50" s="116" t="n">
        <x:f aca="0">SUM(C47,C48,C49)</x:f>
        <x:v>-3680740.5309826117</x:v>
      </x:c>
      <x:c r="D50" s="116" t="n">
        <x:f aca="0">SUM(D47,D48,D49)</x:f>
        <x:v>-3613188.606891753</x:v>
      </x:c>
      <x:c r="E50" s="116" t="n">
        <x:f aca="0">SUM(E47,E48,E49)</x:f>
        <x:v>-3385234.511402916</x:v>
      </x:c>
      <x:c r="F50" s="116" t="n">
        <x:f aca="0">SUM(F47,F48,F49)</x:f>
        <x:v>-2998336.2260276843</x:v>
      </x:c>
      <x:c r="G50" s="116" t="n">
        <x:f aca="0">SUM(G47,G48,G49)</x:f>
        <x:v>-2453448.691990657</x:v>
      </x:c>
      <x:c r="H50" s="116" t="n">
        <x:f aca="0">SUM(H47,H48,H49)</x:f>
        <x:v>-2411026.804698199</x:v>
      </x:c>
      <x:c r="I50" s="116" t="n">
        <x:f aca="0">SUM(I47,I48,I49)</x:f>
        <x:v>-1551027.0048715398</x:v>
      </x:c>
      <x:c r="J50" s="116" t="n">
        <x:f aca="0">SUM(J47,J48,J49)</x:f>
        <x:v>-532907.4795754086</x:v>
      </x:c>
      <x:c r="K50" s="116" t="n">
        <x:f aca="0">SUM(K47,K48,K49)</x:f>
        <x:v>592165.0803376245</x:v>
      </x:c>
      <x:c r="L50" s="116" t="n">
        <x:f aca="0">SUM(L47,L48,L49)</x:f>
        <x:v>1662552.840422562</x:v>
      </x:c>
      <x:c r="M50" s="116" t="n">
        <x:f aca="0">SUM(M47,M48,M49)</x:f>
        <x:v>2863143.2769888723</x:v>
      </x:c>
      <x:c r="N50" s="116" t="n">
        <x:f aca="0">SUM(N47,N48,N49)</x:f>
        <x:v>3022293.310399469</x:v>
      </x:c>
      <x:c r="O50" s="116" t="n">
        <x:f aca="0">SUM(O47,O48,O49)</x:f>
        <x:v>4671150.576862279</x:v>
      </x:c>
      <x:c r="P50" s="116" t="n">
        <x:f aca="0">SUM(P47,P48,P49)</x:f>
        <x:v>6464204.493357773</x:v>
      </x:c>
      <x:c r="Q50" s="116" t="n">
        <x:f aca="0">SUM(Q47,Q48,Q49)</x:f>
        <x:v>8396855.56112754</x:v>
      </x:c>
      <x:c r="R50" s="116" t="n">
        <x:f aca="0">SUM(R47,R48,R49)</x:f>
        <x:v>10464858.212972203</x:v>
      </x:c>
      <x:c r="S50" s="116" t="n">
        <x:f aca="0">SUM(S47,S48,S49)</x:f>
        <x:v>12664304.7648696</x:v>
      </x:c>
      <x:c r="T50" s="116" t="n">
        <x:f aca="0">SUM(T47,T48,T49)</x:f>
        <x:v>14991610.269420719</x:v>
      </x:c>
      <x:c r="U50" s="116" t="n">
        <x:f aca="0">SUM(U47,U48,U49)</x:f>
        <x:v>17443498.224912267</x:v>
      </x:c>
      <x:c r="V50" s="116" t="n">
        <x:f aca="0">SUM(V47,V48,V49)</x:f>
        <x:v>20016987.09633627</x:v>
      </x:c>
      <x:c r="W50" s="116" t="n">
        <x:f aca="0">SUM(W47,W48,W49)</x:f>
        <x:v>22709377.607115876</x:v>
      </x:c>
      <x:c r="X50" s="116" t="n">
        <x:f aca="0">SUM(X47,X48,X49)</x:f>
        <x:v>25518240.762561116</x:v>
      </x:c>
      <x:c r="Y50" s="116" t="n">
        <x:f aca="0">SUM(Y47,Y48,Y49)</x:f>
        <x:v>28441406.568226643</x:v>
      </x:c>
      <x:c r="Z50" s="116" t="n">
        <x:f aca="0">SUM(B50:M50)</x:f>
        <x:v>-28453837.36997087</x:v>
      </x:c>
      <x:c r="AA50" s="116" t="n">
        <x:f aca="0">SUM(N50:Y50)</x:f>
        <x:v>174804787.44816175</x:v>
      </x:c>
      <x:c r="AB50" s="107"/>
      <x:c r="AC50" s="107"/>
    </x:row>
    <x:row r="51" ht="18" hidden="0" customHeight="1">
      <x:c r="A51" s="110" t="s">
        <x:v>273</x:v>
      </x:c>
      <x:c r="B51" s="119" t="n">
        <x:f aca="0">'Cash Flow'!B21</x:f>
        <x:v>0.984921375260889</x:v>
      </x:c>
      <x:c r="C51" s="119" t="n">
        <x:f aca="0">'Cash Flow'!C21</x:f>
        <x:v>0.9700701154458005</x:v>
      </x:c>
      <x:c r="D51" s="119" t="n">
        <x:f aca="0">'Cash Flow'!D21</x:f>
        <x:v>0.9554427922043668</x:v>
      </x:c>
      <x:c r="E51" s="119" t="n">
        <x:f aca="0">'Cash Flow'!E21</x:f>
        <x:v>0.9410360288810284</x:v>
      </x:c>
      <x:c r="F51" s="119" t="n">
        <x:f aca="0">'Cash Flow'!F21</x:f>
        <x:v>0.926846499735548</x:v>
      </x:c>
      <x:c r="G51" s="119" t="n">
        <x:f aca="0">'Cash Flow'!G21</x:f>
        <x:v>0.9128709291752769</x:v>
      </x:c>
      <x:c r="H51" s="119" t="n">
        <x:f aca="0">'Cash Flow'!H21</x:f>
        <x:v>0.899106090998999</x:v>
      </x:c>
      <x:c r="I51" s="119" t="n">
        <x:f aca="0">'Cash Flow'!I21</x:f>
        <x:v>0.8855488076521759</x:v>
      </x:c>
      <x:c r="J51" s="119" t="n">
        <x:f aca="0">'Cash Flow'!J21</x:f>
        <x:v>0.8721959494934213</x:v>
      </x:c>
      <x:c r="K51" s="119" t="n">
        <x:f aca="0">'Cash Flow'!K21</x:f>
        <x:v>0.8590444340720371</x:v>
      </x:c>
      <x:c r="L51" s="119" t="n">
        <x:f aca="0">'Cash Flow'!L21</x:f>
        <x:v>0.8460912254164427</x:v>
      </x:c>
      <x:c r="M51" s="119" t="n">
        <x:f aca="0">'Cash Flow'!M21</x:f>
        <x:v>0.8333333333333334</x:v>
      </x:c>
      <x:c r="N51" s="119" t="n">
        <x:f aca="0">'Cash Flow'!N21</x:f>
        <x:v>0.8207678127174073</x:v>
      </x:c>
      <x:c r="O51" s="119" t="n">
        <x:f aca="0">'Cash Flow'!O21</x:f>
        <x:v>0.8083917628715004</x:v>
      </x:c>
      <x:c r="P51" s="119" t="n">
        <x:f aca="0">'Cash Flow'!P21</x:f>
        <x:v>0.7962023268369725</x:v>
      </x:c>
      <x:c r="Q51" s="119" t="n">
        <x:f aca="0">'Cash Flow'!Q21</x:f>
        <x:v>0.7841966907341904</x:v>
      </x:c>
      <x:c r="R51" s="119" t="n">
        <x:f aca="0">'Cash Flow'!R21</x:f>
        <x:v>0.7723720831129566</x:v>
      </x:c>
      <x:c r="S51" s="119" t="n">
        <x:f aca="0">'Cash Flow'!S21</x:f>
        <x:v>0.7607257743127308</x:v>
      </x:c>
      <x:c r="T51" s="119" t="n">
        <x:f aca="0">'Cash Flow'!T21</x:f>
        <x:v>0.7492550758324993</x:v>
      </x:c>
      <x:c r="U51" s="119" t="n">
        <x:f aca="0">'Cash Flow'!U21</x:f>
        <x:v>0.7379573397101465</x:v>
      </x:c>
      <x:c r="V51" s="119" t="n">
        <x:f aca="0">'Cash Flow'!V21</x:f>
        <x:v>0.7268299579111844</x:v>
      </x:c>
      <x:c r="W51" s="119" t="n">
        <x:f aca="0">'Cash Flow'!W21</x:f>
        <x:v>0.7158703617266977</x:v>
      </x:c>
      <x:c r="X51" s="119" t="n">
        <x:f aca="0">'Cash Flow'!X21</x:f>
        <x:v>0.7050760211803689</x:v>
      </x:c>
      <x:c r="Y51" s="119" t="n">
        <x:f aca="0">'Cash Flow'!Y21</x:f>
        <x:v>0.6944444444444444</x:v>
      </x:c>
      <x:c r="Z51" s="119" t="n">
        <x:f aca="0">AVERAGE(B51:M51)</x:f>
        <x:v>0.9072089651391101</x:v>
      </x:c>
      <x:c r="AA51" s="119" t="n">
        <x:f aca="0">AVERAGE(N51:Y51)</x:f>
        <x:v>0.7560074709492585</x:v>
      </x:c>
      <x:c r="AB51" s="107"/>
      <x:c r="AC51" s="107"/>
    </x:row>
    <x:row r="52" ht="18" hidden="0" customHeight="1">
      <x:c r="A52" s="115" t="s">
        <x:v>317</x:v>
      </x:c>
      <x:c r="B52" s="116" t="n">
        <x:f aca="0">B50*B51</x:f>
        <x:v>-12750584.02134996</x:v>
      </x:c>
      <x:c r="C52" s="116" t="n">
        <x:f aca="0">C50*C51</x:f>
        <x:v>-3570576.391816339</x:v>
      </x:c>
      <x:c r="D52" s="116" t="n">
        <x:f aca="0">D50*D51</x:f>
        <x:v>-3452195.011329663</x:v>
      </x:c>
      <x:c r="E52" s="116" t="n">
        <x:f aca="0">E50*E51</x:f>
        <x:v>-3185627.641441609</x:v>
      </x:c>
      <x:c r="F52" s="116" t="n">
        <x:f aca="0">F50*F51</x:f>
        <x:v>-2778997.436124052</x:v>
      </x:c>
      <x:c r="G52" s="116" t="n">
        <x:f aca="0">G50*G51</x:f>
        <x:v>-2239681.9871413787</x:v>
      </x:c>
      <x:c r="H52" s="116" t="n">
        <x:f aca="0">H50*H51</x:f>
        <x:v>-2167768.885666005</x:v>
      </x:c>
      <x:c r="I52" s="116" t="n">
        <x:f aca="0">I50*I51</x:f>
        <x:v>-1373510.1148003177</x:v>
      </x:c>
      <x:c r="J52" s="116" t="n">
        <x:f aca="0">J50*J51</x:f>
        <x:v>-464799.7451404195</x:v>
      </x:c>
      <x:c r="K52" s="116" t="n">
        <x:f aca="0">K50*K51</x:f>
        <x:v>508696.11631585704</x:v>
      </x:c>
      <x:c r="L52" s="116" t="n">
        <x:f aca="0">L50*L51</x:f>
        <x:v>1406671.370072713</x:v>
      </x:c>
      <x:c r="M52" s="116" t="n">
        <x:f aca="0">M50*M51</x:f>
        <x:v>2385952.7308240603</x:v>
      </x:c>
      <x:c r="N52" s="116" t="n">
        <x:f aca="0">N50*N51</x:f>
        <x:v>2480601.0697670244</x:v>
      </x:c>
      <x:c r="O52" s="116" t="n">
        <x:f aca="0">O50*O51</x:f>
        <x:v>3776119.649467924</x:v>
      </x:c>
      <x:c r="P52" s="116" t="n">
        <x:f aca="0">P50*P51</x:f>
        <x:v>5146814.6587614715</x:v>
      </x:c>
      <x:c r="Q52" s="116" t="n">
        <x:f aca="0">Q50*Q51</x:f>
        <x:v>6584786.3436092</x:v>
      </x:c>
      <x:c r="R52" s="116" t="n">
        <x:f aca="0">R50*R51</x:f>
        <x:v>8082764.337435073</x:v>
      </x:c>
      <x:c r="S52" s="116" t="n">
        <x:f aca="0">S50*S51</x:f>
        <x:v>9634063.048387833</x:v>
      </x:c>
      <x:c r="T52" s="116" t="n">
        <x:f aca="0">T50*T51</x:f>
        <x:v>11232540.089266095</x:v>
      </x:c>
      <x:c r="U52" s="116" t="n">
        <x:f aca="0">U50*U51</x:f>
        <x:v>12872557.54529492</x:v>
      </x:c>
      <x:c r="V52" s="116" t="n">
        <x:f aca="0">V50*V51</x:f>
        <x:v>14548945.888738815</x:v>
      </x:c>
      <x:c r="W52" s="116" t="n">
        <x:f aca="0">W50*W51</x:f>
        <x:v>16256970.36219421</x:v>
      </x:c>
      <x:c r="X52" s="116" t="n">
        <x:f aca="0">X50*X51</x:f>
        <x:v>17992299.664389297</x:v>
      </x:c>
      <x:c r="Y52" s="116" t="n">
        <x:f aca="0">Y50*Y51</x:f>
        <x:v>19750976.783490725</x:v>
      </x:c>
      <x:c r="Z52" s="116" t="n">
        <x:f aca="0">SUM(B52:M52)</x:f>
        <x:v>-27682421.017597117</x:v>
      </x:c>
      <x:c r="AA52" s="116" t="n">
        <x:f aca="0">SUM(N52:Y52)</x:f>
        <x:v>128359439.4408026</x:v>
      </x:c>
      <x:c r="AB52" s="107"/>
      <x:c r="AC52" s="107"/>
    </x:row>
    <x:row r="53" ht="7.5" hidden="0" customHeight="1">
      <x:c r="A53" s="74"/>
      <x:c r="B53" s="70"/>
      <x:c r="C53" s="70"/>
      <x:c r="D53" s="70"/>
      <x:c r="E53" s="70"/>
      <x:c r="F53" s="70"/>
      <x:c r="G53" s="70"/>
      <x:c r="H53" s="70"/>
      <x:c r="I53" s="70"/>
      <x:c r="J53" s="70"/>
      <x:c r="K53" s="70"/>
      <x:c r="L53" s="70"/>
      <x:c r="M53" s="70"/>
      <x:c r="N53" s="70"/>
      <x:c r="O53" s="70"/>
      <x:c r="P53" s="70"/>
      <x:c r="Q53" s="70"/>
      <x:c r="R53" s="120"/>
      <x:c r="S53" s="120"/>
      <x:c r="T53" s="120"/>
      <x:c r="U53" s="120"/>
      <x:c r="V53" s="120"/>
      <x:c r="W53" s="120"/>
      <x:c r="X53" s="120"/>
      <x:c r="Y53" s="120"/>
      <x:c r="Z53" s="120"/>
      <x:c r="AA53" s="120"/>
      <x:c r="AB53" s="107"/>
      <x:c r="AC53" s="107"/>
    </x:row>
    <x:row r="54" ht="19.5" hidden="0" customHeight="1">
      <x:c r="A54" s="108" t="s">
        <x:v>318</x:v>
      </x:c>
      <x:c r="B54" s="108"/>
      <x:c r="C54" s="108"/>
      <x:c r="D54" s="108"/>
      <x:c r="E54" s="108"/>
      <x:c r="F54" s="108"/>
      <x:c r="G54" s="108"/>
      <x:c r="H54" s="108"/>
      <x:c r="I54" s="108"/>
      <x:c r="J54" s="108"/>
      <x:c r="K54" s="108"/>
      <x:c r="L54" s="108"/>
      <x:c r="M54" s="108"/>
      <x:c r="N54" s="108"/>
      <x:c r="O54" s="108"/>
      <x:c r="P54" s="108"/>
      <x:c r="Q54" s="108"/>
      <x:c r="R54" s="108"/>
      <x:c r="S54" s="108"/>
      <x:c r="T54" s="108"/>
      <x:c r="U54" s="108"/>
      <x:c r="V54" s="108"/>
      <x:c r="W54" s="108"/>
      <x:c r="X54" s="108"/>
      <x:c r="Y54" s="108"/>
      <x:c r="Z54" s="108"/>
      <x:c r="AA54" s="108"/>
      <x:c r="AB54" s="108"/>
      <x:c r="AC54" s="108"/>
    </x:row>
    <x:row r="55" ht="18" hidden="0" customHeight="1">
      <x:c r="A55" s="110" t="s">
        <x:v>191</x:v>
      </x:c>
      <x:c r="B55" s="114" t="n">
        <x:f aca="0">'P&amp;L'!B7</x:f>
        <x:v>0</x:v>
      </x:c>
      <x:c r="C55" s="114" t="n">
        <x:f aca="0">'P&amp;L'!C7</x:f>
        <x:v>0</x:v>
      </x:c>
      <x:c r="D55" s="114" t="n">
        <x:f aca="0">'P&amp;L'!D7</x:f>
        <x:v>0</x:v>
      </x:c>
      <x:c r="E55" s="114" t="n">
        <x:f aca="0">'P&amp;L'!E7</x:f>
        <x:v>128700</x:v>
      </x:c>
      <x:c r="F55" s="114" t="n">
        <x:f aca="0">'P&amp;L'!F7</x:f>
        <x:v>385456.49999999994</x:v>
      </x:c>
      <x:c r="G55" s="114" t="n">
        <x:f aca="0">'P&amp;L'!G7</x:f>
        <x:v>770034.6225</x:v>
      </x:c>
      <x:c r="H55" s="114" t="n">
        <x:f aca="0">'P&amp;L'!H7</x:f>
        <x:v>1282609.8338625</x:v>
      </x:c>
      <x:c r="I55" s="114" t="n">
        <x:f aca="0">'P&amp;L'!I7</x:f>
        <x:v>1923770.9152715625</x:v>
      </x:c>
      <x:c r="J55" s="114" t="n">
        <x:f aca="0">'P&amp;L'!J7</x:f>
        <x:v>2694524.200850759</x:v>
      </x:c>
      <x:c r="K55" s="114" t="n">
        <x:f aca="0">'P&amp;L'!K7</x:f>
        <x:v>3596299.104428201</x:v>
      </x:c>
      <x:c r="L55" s="114" t="n">
        <x:f aca="0">'P&amp;L'!L7</x:f>
        <x:v>4630954.96045466</x:v>
      </x:c>
      <x:c r="M55" s="114" t="n">
        <x:f aca="0">'P&amp;L'!M7</x:f>
        <x:v>5800789.208703198</x:v>
      </x:c>
      <x:c r="N55" s="114" t="n">
        <x:f aca="0">'P&amp;L'!N7</x:f>
        <x:v>7108546.956618884</x:v>
      </x:c>
      <x:c r="O55" s="114" t="n">
        <x:f aca="0">'P&amp;L'!O7</x:f>
        <x:v>8557431.95755859</x:v>
      </x:c>
      <x:c r="P55" s="114" t="n">
        <x:f aca="0">'P&amp;L'!P7</x:f>
        <x:v>10151119.04767752</x:v>
      </x:c>
      <x:c r="Q55" s="114" t="n">
        <x:f aca="0">'P&amp;L'!Q7</x:f>
        <x:v>11885217.203039765</x:v>
      </x:c>
      <x:c r="R55" s="114" t="n">
        <x:f aca="0">'P&amp;L'!R7</x:f>
        <x:v>13755664.909088647</x:v>
      </x:c>
      <x:c r="S55" s="114" t="n">
        <x:f aca="0">'P&amp;L'!S7</x:f>
        <x:v>15758715.853164788</x:v>
      </x:c>
      <x:c r="T55" s="114" t="n">
        <x:f aca="0">'P&amp;L'!T7</x:f>
        <x:v>17890925.39531245</x:v>
      </x:c>
      <x:c r="U55" s="114" t="n">
        <x:f aca="0">'P&amp;L'!U7</x:f>
        <x:v>20149137.779901884</x:v>
      </x:c>
      <x:c r="V55" s="114" t="n">
        <x:f aca="0">'P&amp;L'!V7</x:f>
        <x:v>22530474.052507043</x:v>
      </x:c>
      <x:c r="W55" s="114" t="n">
        <x:f aca="0">'P&amp;L'!W7</x:f>
        <x:v>25032320.648294978</x:v>
      </x:c>
      <x:c r="X55" s="114" t="n">
        <x:f aca="0">'P&amp;L'!X7</x:f>
        <x:v>27652318.619910277</x:v>
      </x:c>
      <x:c r="Y55" s="114" t="n">
        <x:f aca="0">'P&amp;L'!Y7</x:f>
        <x:v>30388353.474479645</x:v>
      </x:c>
      <x:c r="Z55" s="114" t="n">
        <x:f aca="0">SUM(B55:M55)</x:f>
        <x:v>21213139.34607088</x:v>
      </x:c>
      <x:c r="AA55" s="114" t="n">
        <x:f aca="0">SUM(N55:Y55)</x:f>
        <x:v>210860225.8975545</x:v>
      </x:c>
      <x:c r="AB55" s="107"/>
      <x:c r="AC55" s="107"/>
    </x:row>
    <x:row r="56" ht="18" hidden="0" customHeight="1">
      <x:c r="A56" s="110" t="s">
        <x:v>192</x:v>
      </x:c>
      <x:c r="B56" s="114" t="n">
        <x:f aca="0">'P&amp;L'!B8</x:f>
        <x:v>322071.75</x:v>
      </x:c>
      <x:c r="C56" s="114" t="n">
        <x:f aca="0">'P&amp;L'!C8</x:f>
        <x:v>657026.37</x:v>
      </x:c>
      <x:c r="D56" s="114" t="n">
        <x:f aca="0">'P&amp;L'!D8</x:f>
        <x:v>1005765.6609000001</x:v>
      </x:c>
      <x:c r="E56" s="114" t="n">
        <x:f aca="0">'P&amp;L'!E8</x:f>
        <x:v>1466572.3300800002</x:v>
      </x:c>
      <x:c r="F56" s="114" t="n">
        <x:f aca="0">'P&amp;L'!F8</x:f>
        <x:v>2039481.0910702802</x:v>
      </x:c>
      <x:c r="G56" s="114" t="n">
        <x:f aca="0">'P&amp;L'!G8</x:f>
        <x:v>2724905.850233767</x:v>
      </x:c>
      <x:c r="H56" s="114" t="n">
        <x:f aca="0">'P&amp;L'!H8</x:f>
        <x:v>3523642.7499637036</x:v>
      </x:c>
      <x:c r="I56" s="114" t="n">
        <x:f aca="0">'P&amp;L'!I8</x:f>
        <x:v>4436874.396949211</x:v>
      </x:c>
      <x:c r="J56" s="114" t="n">
        <x:f aca="0">'P&amp;L'!J8</x:f>
        <x:v>5466175.296147885</x:v>
      </x:c>
      <x:c r="K56" s="114" t="n">
        <x:f aca="0">'P&amp;L'!K8</x:f>
        <x:v>6613518.514872945</x:v>
      </x:c>
      <x:c r="L56" s="114" t="n">
        <x:f aca="0">'P&amp;L'!L8</x:f>
        <x:v>7881283.605270378</x:v>
      </x:c>
      <x:c r="M56" s="114" t="n">
        <x:f aca="0">'P&amp;L'!M8</x:f>
        <x:v>9272265.81744115</x:v>
      </x:c>
      <x:c r="N56" s="114" t="n">
        <x:f aca="0">'P&amp;L'!N8</x:f>
        <x:v>10768288.047713002</x:v>
      </x:c>
      <x:c r="O56" s="114" t="n">
        <x:f aca="0">'P&amp;L'!O8</x:f>
        <x:v>12371619.021611076</x:v>
      </x:c>
      <x:c r="P56" s="114" t="n">
        <x:f aca="0">'P&amp;L'!P8</x:f>
        <x:v>14084884.242036201</x:v>
      </x:c>
      <x:c r="Q56" s="114" t="n">
        <x:f aca="0">'P&amp;L'!Q8</x:f>
        <x:v>15904608.373326272</x:v>
      </x:c>
      <x:c r="R56" s="114" t="n">
        <x:f aca="0">'P&amp;L'!R8</x:f>
        <x:v>17827595.00388323</x:v>
      </x:c>
      <x:c r="S56" s="114" t="n">
        <x:f aca="0">'P&amp;L'!S8</x:f>
        <x:v>19850914.23644458</x:v>
      </x:c>
      <x:c r="T56" s="114" t="n">
        <x:f aca="0">'P&amp;L'!T8</x:f>
        <x:v>21971890.959102385</x:v>
      </x:c>
      <x:c r="U56" s="114" t="n">
        <x:f aca="0">'P&amp;L'!U8</x:f>
        <x:v>24188093.764101807</x:v>
      </x:c>
      <x:c r="V56" s="114" t="n">
        <x:f aca="0">'P&amp;L'!V8</x:f>
        <x:v>26497324.48313539</x:v>
      </x:c>
      <x:c r="W56" s="114" t="n">
        <x:f aca="0">'P&amp;L'!W8</x:f>
        <x:v>28897608.309449323</x:v>
      </x:c>
      <x:c r="X56" s="114" t="n">
        <x:f aca="0">'P&amp;L'!X8</x:f>
        <x:v>31387184.478599355</x:v>
      </x:c>
      <x:c r="Y56" s="114" t="n">
        <x:f aca="0">'P&amp;L'!Y8</x:f>
        <x:v>33964497.48113969</x:v>
      </x:c>
      <x:c r="Z56" s="114" t="n">
        <x:f aca="0">SUM(B56:M56)</x:f>
        <x:v>45409583.43292932</x:v>
      </x:c>
      <x:c r="AA56" s="114" t="n">
        <x:f aca="0">SUM(N56:Y56)</x:f>
        <x:v>257714508.4005423</x:v>
      </x:c>
      <x:c r="AB56" s="107"/>
      <x:c r="AC56" s="107"/>
    </x:row>
    <x:row r="57" ht="18" hidden="0" customHeight="1">
      <x:c r="A57" s="115" t="s">
        <x:v>193</x:v>
      </x:c>
      <x:c r="B57" s="116" t="n">
        <x:f aca="0">'P&amp;L'!B9</x:f>
        <x:v>322071.75</x:v>
      </x:c>
      <x:c r="C57" s="116" t="n">
        <x:f aca="0">'P&amp;L'!C9</x:f>
        <x:v>657026.37</x:v>
      </x:c>
      <x:c r="D57" s="116" t="n">
        <x:f aca="0">'P&amp;L'!D9</x:f>
        <x:v>1005765.6609000001</x:v>
      </x:c>
      <x:c r="E57" s="116" t="n">
        <x:f aca="0">'P&amp;L'!E9</x:f>
        <x:v>1595272.3300800002</x:v>
      </x:c>
      <x:c r="F57" s="116" t="n">
        <x:f aca="0">'P&amp;L'!F9</x:f>
        <x:v>2424937.59107028</x:v>
      </x:c>
      <x:c r="G57" s="116" t="n">
        <x:f aca="0">'P&amp;L'!G9</x:f>
        <x:v>3494940.4727337672</x:v>
      </x:c>
      <x:c r="H57" s="116" t="n">
        <x:f aca="0">'P&amp;L'!H9</x:f>
        <x:v>4806252.583826204</x:v>
      </x:c>
      <x:c r="I57" s="116" t="n">
        <x:f aca="0">'P&amp;L'!I9</x:f>
        <x:v>6360645.312220774</x:v>
      </x:c>
      <x:c r="J57" s="116" t="n">
        <x:f aca="0">'P&amp;L'!J9</x:f>
        <x:v>8160699.4969986435</x:v>
      </x:c>
      <x:c r="K57" s="116" t="n">
        <x:f aca="0">'P&amp;L'!K9</x:f>
        <x:v>10209817.619301146</x:v>
      </x:c>
      <x:c r="L57" s="116" t="n">
        <x:f aca="0">'P&amp;L'!L9</x:f>
        <x:v>12512238.565725038</x:v>
      </x:c>
      <x:c r="M57" s="116" t="n">
        <x:f aca="0">'P&amp;L'!M9</x:f>
        <x:v>15073055.026144348</x:v>
      </x:c>
      <x:c r="N57" s="116" t="n">
        <x:f aca="0">'P&amp;L'!N9</x:f>
        <x:v>17876835.004331887</x:v>
      </x:c>
      <x:c r="O57" s="116" t="n">
        <x:f aca="0">'P&amp;L'!O9</x:f>
        <x:v>20929050.979169667</x:v>
      </x:c>
      <x:c r="P57" s="116" t="n">
        <x:f aca="0">'P&amp;L'!P9</x:f>
        <x:v>24236003.28971372</x:v>
      </x:c>
      <x:c r="Q57" s="116" t="n">
        <x:f aca="0">'P&amp;L'!Q9</x:f>
        <x:v>27789825.576366037</x:v>
      </x:c>
      <x:c r="R57" s="116" t="n">
        <x:f aca="0">'P&amp;L'!R9</x:f>
        <x:v>31583259.912971877</x:v>
      </x:c>
      <x:c r="S57" s="116" t="n">
        <x:f aca="0">'P&amp;L'!S9</x:f>
        <x:v>35609630.08960937</x:v>
      </x:c>
      <x:c r="T57" s="116" t="n">
        <x:f aca="0">'P&amp;L'!T9</x:f>
        <x:v>39862816.354414836</x:v>
      </x:c>
      <x:c r="U57" s="116" t="n">
        <x:f aca="0">'P&amp;L'!U9</x:f>
        <x:v>44337231.544003695</x:v>
      </x:c>
      <x:c r="V57" s="116" t="n">
        <x:f aca="0">'P&amp;L'!V9</x:f>
        <x:v>49027798.53564243</x:v>
      </x:c>
      <x:c r="W57" s="116" t="n">
        <x:f aca="0">'P&amp;L'!W9</x:f>
        <x:v>53929928.9577443</x:v>
      </x:c>
      <x:c r="X57" s="116" t="n">
        <x:f aca="0">'P&amp;L'!X9</x:f>
        <x:v>59039503.09850963</x:v>
      </x:c>
      <x:c r="Y57" s="116" t="n">
        <x:f aca="0">'P&amp;L'!Y9</x:f>
        <x:v>64352850.955619335</x:v>
      </x:c>
      <x:c r="Z57" s="116" t="n">
        <x:f aca="0">SUM(B57:M57)</x:f>
        <x:v>66622722.7790002</x:v>
      </x:c>
      <x:c r="AA57" s="116" t="n">
        <x:f aca="0">SUM(N57:Y57)</x:f>
        <x:v>468574734.2980967</x:v>
      </x:c>
      <x:c r="AB57" s="107"/>
      <x:c r="AC57" s="107"/>
    </x:row>
    <x:row r="58" ht="18" hidden="0" customHeight="1">
      <x:c r="A58" s="110" t="s">
        <x:v>208</x:v>
      </x:c>
      <x:c r="B58" s="114" t="n">
        <x:f aca="0">Costs!B15</x:f>
        <x:v>2000000</x:v>
      </x:c>
      <x:c r="C58" s="114" t="n">
        <x:f aca="0">Costs!C15</x:f>
        <x:v>2000000</x:v>
      </x:c>
      <x:c r="D58" s="114" t="n">
        <x:f aca="0">Costs!D15</x:f>
        <x:v>2000000</x:v>
      </x:c>
      <x:c r="E58" s="114" t="n">
        <x:f aca="0">Costs!E15</x:f>
        <x:v>2000000</x:v>
      </x:c>
      <x:c r="F58" s="114" t="n">
        <x:f aca="0">Costs!F15</x:f>
        <x:v>2000000</x:v>
      </x:c>
      <x:c r="G58" s="114" t="n">
        <x:f aca="0">Costs!G15</x:f>
        <x:v>2000000</x:v>
      </x:c>
      <x:c r="H58" s="114" t="n">
        <x:f aca="0">Costs!H15</x:f>
        <x:v>2600000</x:v>
      </x:c>
      <x:c r="I58" s="114" t="n">
        <x:f aca="0">Costs!I15</x:f>
        <x:v>2600000</x:v>
      </x:c>
      <x:c r="J58" s="114" t="n">
        <x:f aca="0">Costs!J15</x:f>
        <x:v>2600000</x:v>
      </x:c>
      <x:c r="K58" s="114" t="n">
        <x:f aca="0">Costs!K15</x:f>
        <x:v>2600000</x:v>
      </x:c>
      <x:c r="L58" s="114" t="n">
        <x:f aca="0">Costs!L15</x:f>
        <x:v>2600000</x:v>
      </x:c>
      <x:c r="M58" s="114" t="n">
        <x:f aca="0">Costs!M15</x:f>
        <x:v>2600000</x:v>
      </x:c>
      <x:c r="N58" s="114" t="n">
        <x:f aca="0">Costs!N15</x:f>
        <x:v>3200000</x:v>
      </x:c>
      <x:c r="O58" s="114" t="n">
        <x:f aca="0">Costs!O15</x:f>
        <x:v>3200000</x:v>
      </x:c>
      <x:c r="P58" s="114" t="n">
        <x:f aca="0">Costs!P15</x:f>
        <x:v>3200000</x:v>
      </x:c>
      <x:c r="Q58" s="114" t="n">
        <x:f aca="0">Costs!Q15</x:f>
        <x:v>3200000</x:v>
      </x:c>
      <x:c r="R58" s="114" t="n">
        <x:f aca="0">Costs!R15</x:f>
        <x:v>3200000</x:v>
      </x:c>
      <x:c r="S58" s="114" t="n">
        <x:f aca="0">Costs!S15</x:f>
        <x:v>3200000</x:v>
      </x:c>
      <x:c r="T58" s="114" t="n">
        <x:f aca="0">Costs!T15</x:f>
        <x:v>3200000</x:v>
      </x:c>
      <x:c r="U58" s="114" t="n">
        <x:f aca="0">Costs!U15</x:f>
        <x:v>3200000</x:v>
      </x:c>
      <x:c r="V58" s="114" t="n">
        <x:f aca="0">Costs!V15</x:f>
        <x:v>3200000</x:v>
      </x:c>
      <x:c r="W58" s="114" t="n">
        <x:f aca="0">Costs!W15</x:f>
        <x:v>3200000</x:v>
      </x:c>
      <x:c r="X58" s="114" t="n">
        <x:f aca="0">Costs!X15</x:f>
        <x:v>3200000</x:v>
      </x:c>
      <x:c r="Y58" s="114" t="n">
        <x:f aca="0">Costs!Y15</x:f>
        <x:v>3200000</x:v>
      </x:c>
      <x:c r="Z58" s="114" t="n">
        <x:f aca="0">SUM(B58:M58)</x:f>
        <x:v>27600000</x:v>
      </x:c>
      <x:c r="AA58" s="114" t="n">
        <x:f aca="0">SUM(N58:Y58)</x:f>
        <x:v>38400000</x:v>
      </x:c>
      <x:c r="AB58" s="107"/>
      <x:c r="AC58" s="107"/>
    </x:row>
    <x:row r="59" ht="18" hidden="0" customHeight="1">
      <x:c r="A59" s="110" t="s">
        <x:v>211</x:v>
      </x:c>
      <x:c r="B59" s="114" t="n">
        <x:f aca="0">Costs!B18</x:f>
        <x:v>1046424.3424567267</x:v>
      </x:c>
      <x:c r="C59" s="114" t="n">
        <x:f aca="0">Costs!C18</x:f>
        <x:v>1131393.9990642124</x:v>
      </x:c>
      <x:c r="D59" s="114" t="n">
        <x:f aca="0">Costs!D18</x:f>
        <x:v>1223263.1917882268</x:v>
      </x:c>
      <x:c r="E59" s="114" t="n">
        <x:f aca="0">Costs!E18</x:f>
        <x:v>1322592.162961431</x:v>
      </x:c>
      <x:c r="F59" s="114" t="n">
        <x:f aca="0">Costs!F18</x:f>
        <x:v>1429986.646593899</x:v>
      </x:c>
      <x:c r="G59" s="114" t="n">
        <x:f aca="0">Costs!G18</x:f>
        <x:v>1546101.5622973235</x:v>
      </x:c>
      <x:c r="H59" s="114" t="n">
        <x:f aca="0">Costs!H18</x:f>
        <x:v>1671645.0091558662</x:v>
      </x:c>
      <x:c r="I59" s="114" t="n">
        <x:f aca="0">Costs!I18</x:f>
        <x:v>1807382.5838993224</x:v>
      </x:c>
      <x:c r="J59" s="114" t="n">
        <x:f aca="0">Costs!J18</x:f>
        <x:v>1954142.0497119478</x:v>
      </x:c>
      <x:c r="K59" s="114" t="n">
        <x:f aca="0">Costs!K18</x:f>
        <x:v>2112818.384148558</x:v>
      </x:c>
      <x:c r="L59" s="114" t="n">
        <x:f aca="0">Costs!L18</x:f>
        <x:v>2284379.236941421</x:v>
      </x:c>
      <x:c r="M59" s="114" t="n">
        <x:f aca="0">Costs!M18</x:f>
        <x:v>2469870.830981065</x:v>
      </x:c>
      <x:c r="N59" s="114" t="n">
        <x:f aca="0">Costs!N18</x:f>
        <x:v>3333333.3333333335</x:v>
      </x:c>
      <x:c r="O59" s="114" t="n">
        <x:f aca="0">Costs!O18</x:f>
        <x:v>3333333.3333333335</x:v>
      </x:c>
      <x:c r="P59" s="114" t="n">
        <x:f aca="0">Costs!P18</x:f>
        <x:v>3333333.3333333335</x:v>
      </x:c>
      <x:c r="Q59" s="114" t="n">
        <x:f aca="0">Costs!Q18</x:f>
        <x:v>3333333.3333333335</x:v>
      </x:c>
      <x:c r="R59" s="114" t="n">
        <x:f aca="0">Costs!R18</x:f>
        <x:v>3333333.3333333335</x:v>
      </x:c>
      <x:c r="S59" s="114" t="n">
        <x:f aca="0">Costs!S18</x:f>
        <x:v>3333333.3333333335</x:v>
      </x:c>
      <x:c r="T59" s="114" t="n">
        <x:f aca="0">Costs!T18</x:f>
        <x:v>3333333.3333333335</x:v>
      </x:c>
      <x:c r="U59" s="114" t="n">
        <x:f aca="0">Costs!U18</x:f>
        <x:v>3333333.3333333335</x:v>
      </x:c>
      <x:c r="V59" s="114" t="n">
        <x:f aca="0">Costs!V18</x:f>
        <x:v>3333333.3333333335</x:v>
      </x:c>
      <x:c r="W59" s="114" t="n">
        <x:f aca="0">Costs!W18</x:f>
        <x:v>3333333.3333333335</x:v>
      </x:c>
      <x:c r="X59" s="114" t="n">
        <x:f aca="0">Costs!X18</x:f>
        <x:v>3333333.3333333335</x:v>
      </x:c>
      <x:c r="Y59" s="114" t="n">
        <x:f aca="0">Costs!Y18</x:f>
        <x:v>3333333.3333333335</x:v>
      </x:c>
      <x:c r="Z59" s="114" t="n">
        <x:f aca="0">SUM(B59:M59)</x:f>
        <x:v>20000000</x:v>
      </x:c>
      <x:c r="AA59" s="114" t="n">
        <x:f aca="0">SUM(N59:Y59)</x:f>
        <x:v>40000000</x:v>
      </x:c>
      <x:c r="AB59" s="107"/>
      <x:c r="AC59" s="107"/>
    </x:row>
    <x:row r="60" ht="18" hidden="0" customHeight="1">
      <x:c r="A60" s="110" t="s">
        <x:v>233</x:v>
      </x:c>
      <x:c r="B60" s="114" t="n">
        <x:f aca="0">Costs!B21</x:f>
        <x:v>350242.0292785672</x:v>
      </x:c>
      <x:c r="C60" s="114" t="n">
        <x:f aca="0">Costs!C21</x:f>
        <x:v>399693.71797156305</x:v>
      </x:c>
      <x:c r="D60" s="114" t="n">
        <x:f aca="0">Costs!D21</x:f>
        <x:v>448601.30963123613</x:v>
      </x:c>
      <x:c r="E60" s="114" t="n">
        <x:f aca="0">Costs!E21</x:f>
        <x:v>497202.8655539792</x:v>
      </x:c>
      <x:c r="F60" s="114" t="n">
        <x:f aca="0">Costs!F21</x:f>
        <x:v>545729.5835819974</x:v>
      </x:c>
      <x:c r="G60" s="114" t="n">
        <x:f aca="0">Costs!G21</x:f>
        <x:v>594407.0525947394</x:v>
      </x:c>
      <x:c r="H60" s="114" t="n">
        <x:f aca="0">Costs!H21</x:f>
        <x:v>643456.4502395138</x:v>
      </x:c>
      <x:c r="I60" s="114" t="n">
        <x:f aca="0">Costs!I21</x:f>
        <x:v>693095.6909943866</x:v>
      </x:c>
      <x:c r="J60" s="114" t="n">
        <x:f aca="0">Costs!J21</x:f>
        <x:v>743540.5312453237</x:v>
      </x:c>
      <x:c r="K60" s="114" t="n">
        <x:f aca="0">Costs!K21</x:f>
        <x:v>795005.6376905265</x:v>
      </x:c>
      <x:c r="L60" s="114" t="n">
        <x:f aca="0">Costs!L21</x:f>
        <x:v>847705.6250551889</x:v>
      </x:c>
      <x:c r="M60" s="114" t="n">
        <x:f aca="0">Costs!M21</x:f>
        <x:v>901856.0688069392</x:v>
      </x:c>
      <x:c r="N60" s="114" t="n">
        <x:f aca="0">Costs!N21</x:f>
        <x:v>954336.3952925552</x:v>
      </x:c>
      <x:c r="O60" s="114" t="n">
        <x:f aca="0">Costs!O21</x:f>
        <x:v>1005336.1245546732</x:v>
      </x:c>
      <x:c r="P60" s="114" t="n">
        <x:f aca="0">Costs!P21</x:f>
        <x:v>1055031.5446637766</x:v>
      </x:c>
      <x:c r="Q60" s="114" t="n">
        <x:f aca="0">Costs!Q21</x:f>
        <x:v>1103586.7919235146</x:v>
      </x:c>
      <x:c r="R60" s="114" t="n">
        <x:f aca="0">Costs!R21</x:f>
        <x:v>1151154.8465304445</x:v>
      </x:c>
      <x:c r="S60" s="114" t="n">
        <x:f aca="0">Costs!S21</x:f>
        <x:v>1197878.4504321325</x:v>
      </x:c>
      <x:c r="T60" s="114" t="n">
        <x:f aca="0">Costs!T21</x:f>
        <x:v>1243890.9535908662</x:v>
      </x:c>
      <x:c r="U60" s="114" t="n">
        <x:f aca="0">Costs!U21</x:f>
        <x:v>1289317.0943663826</x:v>
      </x:c>
      <x:c r="V60" s="114" t="n">
        <x:f aca="0">Costs!V21</x:f>
        <x:v>1334273.7192765935</x:v>
      </x:c>
      <x:c r="W60" s="114" t="n">
        <x:f aca="0">Costs!W21</x:f>
        <x:v>1378870.4469771336</x:v>
      </x:c>
      <x:c r="X60" s="114" t="n">
        <x:f aca="0">Costs!X21</x:f>
        <x:v>1423210.2809157723</x:v>
      </x:c>
      <x:c r="Y60" s="114" t="n">
        <x:f aca="0">Costs!Y21</x:f>
        <x:v>1467390.1747636616</x:v>
      </x:c>
      <x:c r="Z60" s="114" t="n">
        <x:f aca="0">SUM(B60:M60)</x:f>
        <x:v>7460536.562643961</x:v>
      </x:c>
      <x:c r="AA60" s="114" t="n">
        <x:f aca="0">SUM(N60:Y60)</x:f>
        <x:v>14604276.823287506</x:v>
      </x:c>
      <x:c r="AB60" s="107"/>
      <x:c r="AC60" s="107"/>
    </x:row>
    <x:row r="61" ht="18" hidden="0" customHeight="1">
      <x:c r="A61" s="115" t="s">
        <x:v>313</x:v>
      </x:c>
      <x:c r="B61" s="116" t="n">
        <x:f aca="0">Costs!B27</x:f>
        <x:v>3561738.980518864</x:v>
      </x:c>
      <x:c r="C61" s="116" t="n">
        <x:f aca="0">Costs!C27</x:f>
        <x:v>3710995.8324272446</x:v>
      </x:c>
      <x:c r="D61" s="116" t="n">
        <x:f aca="0">Costs!D27</x:f>
        <x:v>3866444.894308834</x:v>
      </x:c>
      <x:c r="E61" s="116" t="n">
        <x:f aca="0">Costs!E27</x:f>
        <x:v>4028955.888181604</x:v>
      </x:c>
      <x:c r="F61" s="116" t="n">
        <x:f aca="0">Costs!F27</x:f>
        <x:v>4199435.1052504955</x:v>
      </x:c>
      <x:c r="G61" s="116" t="n">
        <x:f aca="0">Costs!G27</x:f>
        <x:v>4378830.730670485</x:v>
      </x:c>
      <x:c r="H61" s="116" t="n">
        <x:f aca="0">Costs!H27</x:f>
        <x:v>5168138.394467234</x:v>
      </x:c>
      <x:c r="I61" s="116" t="n">
        <x:f aca="0">Costs!I27</x:f>
        <x:v>5368406.9821920255</x:v>
      </x:c>
      <x:c r="J61" s="116" t="n">
        <x:f aca="0">Costs!J27</x:f>
        <x:v>5580744.740330869</x:v>
      </x:c>
      <x:c r="K61" s="116" t="n">
        <x:f aca="0">Costs!K27</x:f>
        <x:v>5806325.713146243</x:v>
      </x:c>
      <x:c r="L61" s="116" t="n">
        <x:f aca="0">Costs!L27</x:f>
        <x:v>6046396.549513168</x:v>
      </x:c>
      <x:c r="M61" s="116" t="n">
        <x:f aca="0">Costs!M27</x:f>
        <x:v>6302283.720430085</x:v>
      </x:c>
      <x:c r="N61" s="116" t="n">
        <x:f aca="0">Costs!N27</x:f>
        <x:v>7868600.739072432</x:v>
      </x:c>
      <x:c r="O61" s="116" t="n">
        <x:f aca="0">Costs!O27</x:f>
        <x:v>7936430.37899105</x:v>
      </x:c>
      <x:c r="P61" s="116" t="n">
        <x:f aca="0">Costs!P27</x:f>
        <x:v>8002525.287736157</x:v>
      </x:c>
      <x:c r="Q61" s="116" t="n">
        <x:f aca="0">Costs!Q27</x:f>
        <x:v>8067103.7665916085</x:v>
      </x:c>
      <x:c r="R61" s="116" t="n">
        <x:f aca="0">Costs!R27</x:f>
        <x:v>8130369.2792188255</x:v>
      </x:c>
      <x:c r="S61" s="116" t="n">
        <x:f aca="0">Costs!S27</x:f>
        <x:v>8192511.67240807</x:v>
      </x:c>
      <x:c r="T61" s="116" t="n">
        <x:f aca="0">Costs!T27</x:f>
        <x:v>8253708.301609186</x:v>
      </x:c>
      <x:c r="U61" s="116" t="n">
        <x:f aca="0">Costs!U27</x:f>
        <x:v>8314125.068840623</x:v>
      </x:c>
      <x:c r="V61" s="116" t="n">
        <x:f aca="0">Costs!V27</x:f>
        <x:v>8373917.379971204</x:v>
      </x:c>
      <x:c r="W61" s="116" t="n">
        <x:f aca="0">Costs!W27</x:f>
        <x:v>8433231.027812922</x:v>
      </x:c>
      <x:c r="X61" s="116" t="n">
        <x:f aca="0">Costs!X27</x:f>
        <x:v>8492203.006951312</x:v>
      </x:c>
      <x:c r="Y61" s="116" t="n">
        <x:f aca="0">Costs!Y27</x:f>
        <x:v>8550962.265769005</x:v>
      </x:c>
      <x:c r="Z61" s="116" t="n">
        <x:f aca="0">SUM(B61:M61)</x:f>
        <x:v>58018697.53143716</x:v>
      </x:c>
      <x:c r="AA61" s="116" t="n">
        <x:f aca="0">SUM(N61:Y61)</x:f>
        <x:v>98615688.17497241</x:v>
      </x:c>
      <x:c r="AB61" s="107"/>
      <x:c r="AC61" s="107"/>
    </x:row>
    <x:row r="62" ht="18" hidden="0" customHeight="1">
      <x:c r="A62" s="115" t="s">
        <x:v>236</x:v>
      </x:c>
      <x:c r="B62" s="116" t="n">
        <x:f aca="0">'P&amp;L'!B20</x:f>
        <x:v>-3239667.230518864</x:v>
      </x:c>
      <x:c r="C62" s="116" t="n">
        <x:f aca="0">'P&amp;L'!C20</x:f>
        <x:v>-3053969.4624272445</x:v>
      </x:c>
      <x:c r="D62" s="116" t="n">
        <x:f aca="0">'P&amp;L'!D20</x:f>
        <x:v>-2860679.233408834</x:v>
      </x:c>
      <x:c r="E62" s="116" t="n">
        <x:f aca="0">'P&amp;L'!E20</x:f>
        <x:v>-2433683.5581016038</x:v>
      </x:c>
      <x:c r="F62" s="116" t="n">
        <x:f aca="0">'P&amp;L'!F20</x:f>
        <x:v>-1774497.5141802155</x:v>
      </x:c>
      <x:c r="G62" s="116" t="n">
        <x:f aca="0">'P&amp;L'!G20</x:f>
        <x:v>-883890.2579367175</x:v>
      </x:c>
      <x:c r="H62" s="116" t="n">
        <x:f aca="0">'P&amp;L'!H20</x:f>
        <x:v>-361885.81064102985</x:v>
      </x:c>
      <x:c r="I62" s="116" t="n">
        <x:f aca="0">'P&amp;L'!I20</x:f>
        <x:v>992238.3300287481</x:v>
      </x:c>
      <x:c r="J62" s="116" t="n">
        <x:f aca="0">'P&amp;L'!J20</x:f>
        <x:v>2579954.756667774</x:v>
      </x:c>
      <x:c r="K62" s="116" t="n">
        <x:f aca="0">'P&amp;L'!K20</x:f>
        <x:v>4403491.906154903</x:v>
      </x:c>
      <x:c r="L62" s="116" t="n">
        <x:f aca="0">'P&amp;L'!L20</x:f>
        <x:v>6465842.01621187</x:v>
      </x:c>
      <x:c r="M62" s="116" t="n">
        <x:f aca="0">'P&amp;L'!M20</x:f>
        <x:v>8770771.305714263</x:v>
      </x:c>
      <x:c r="N62" s="116" t="n">
        <x:f aca="0">'P&amp;L'!N20</x:f>
        <x:v>10008234.265259456</x:v>
      </x:c>
      <x:c r="O62" s="116" t="n">
        <x:f aca="0">'P&amp;L'!O20</x:f>
        <x:v>12992620.600178618</x:v>
      </x:c>
      <x:c r="P62" s="116" t="n">
        <x:f aca="0">'P&amp;L'!P20</x:f>
        <x:v>16233478.001977565</x:v>
      </x:c>
      <x:c r="Q62" s="116" t="n">
        <x:f aca="0">'P&amp;L'!Q20</x:f>
        <x:v>19722721.80977443</x:v>
      </x:c>
      <x:c r="R62" s="116" t="n">
        <x:f aca="0">'P&amp;L'!R20</x:f>
        <x:v>23452890.63375305</x:v>
      </x:c>
      <x:c r="S62" s="116" t="n">
        <x:f aca="0">'P&amp;L'!S20</x:f>
        <x:v>27417118.4172013</x:v>
      </x:c>
      <x:c r="T62" s="116" t="n">
        <x:f aca="0">'P&amp;L'!T20</x:f>
        <x:v>31609108.052805647</x:v>
      </x:c>
      <x:c r="U62" s="116" t="n">
        <x:f aca="0">'P&amp;L'!U20</x:f>
        <x:v>36023106.47516307</x:v>
      </x:c>
      <x:c r="V62" s="116" t="n">
        <x:f aca="0">'P&amp;L'!V20</x:f>
        <x:v>40653881.155671224</x:v>
      </x:c>
      <x:c r="W62" s="116" t="n">
        <x:f aca="0">'P&amp;L'!W20</x:f>
        <x:v>45496697.92993138</x:v>
      </x:c>
      <x:c r="X62" s="116" t="n">
        <x:f aca="0">'P&amp;L'!X20</x:f>
        <x:v>50547300.09155832</x:v>
      </x:c>
      <x:c r="Y62" s="116" t="n">
        <x:f aca="0">'P&amp;L'!Y20</x:f>
        <x:v>55801888.68985033</x:v>
      </x:c>
      <x:c r="Z62" s="116" t="n">
        <x:f aca="0">SUM(B62:M62)</x:f>
        <x:v>8604025.24756305</x:v>
      </x:c>
      <x:c r="AA62" s="116" t="n">
        <x:f aca="0">SUM(N62:Y62)</x:f>
        <x:v>369959046.12312436</x:v>
      </x:c>
      <x:c r="AB62" s="107"/>
      <x:c r="AC62" s="107"/>
    </x:row>
    <x:row r="63" ht="18" hidden="0" customHeight="1">
      <x:c r="A63" s="110" t="s">
        <x:v>251</x:v>
      </x:c>
      <x:c r="B63" s="114" t="n">
        <x:f aca="0">'P&amp;L'!B22</x:f>
        <x:v>333333.333333333</x:v>
      </x:c>
      <x:c r="C63" s="114" t="n">
        <x:f aca="0">'P&amp;L'!C22</x:f>
        <x:v>333333.3333333333</x:v>
      </x:c>
      <x:c r="D63" s="114" t="n">
        <x:f aca="0">'P&amp;L'!D22</x:f>
        <x:v>333333.3333333333</x:v>
      </x:c>
      <x:c r="E63" s="114" t="n">
        <x:f aca="0">'P&amp;L'!E22</x:f>
        <x:v>333333.3333333333</x:v>
      </x:c>
      <x:c r="F63" s="114" t="n">
        <x:f aca="0">'P&amp;L'!F22</x:f>
        <x:v>333333.3333333333</x:v>
      </x:c>
      <x:c r="G63" s="114" t="n">
        <x:f aca="0">'P&amp;L'!G22</x:f>
        <x:v>333333.3333333333</x:v>
      </x:c>
      <x:c r="H63" s="114" t="n">
        <x:f aca="0">'P&amp;L'!H22</x:f>
        <x:v>333333.3333333333</x:v>
      </x:c>
      <x:c r="I63" s="114" t="n">
        <x:f aca="0">'P&amp;L'!I22</x:f>
        <x:v>333333.3333333333</x:v>
      </x:c>
      <x:c r="J63" s="114" t="n">
        <x:f aca="0">'P&amp;L'!J22</x:f>
        <x:v>333333.3333333333</x:v>
      </x:c>
      <x:c r="K63" s="114" t="n">
        <x:f aca="0">'P&amp;L'!K22</x:f>
        <x:v>333333.3333333333</x:v>
      </x:c>
      <x:c r="L63" s="114" t="n">
        <x:f aca="0">'P&amp;L'!L22</x:f>
        <x:v>333333.3333333333</x:v>
      </x:c>
      <x:c r="M63" s="114" t="n">
        <x:f aca="0">'P&amp;L'!M22</x:f>
        <x:v>333333.3333333333</x:v>
      </x:c>
      <x:c r="N63" s="114" t="n">
        <x:f aca="0">'P&amp;L'!N22</x:f>
        <x:v>333333.3333333333</x:v>
      </x:c>
      <x:c r="O63" s="114" t="n">
        <x:f aca="0">'P&amp;L'!O22</x:f>
        <x:v>333333.3333333333</x:v>
      </x:c>
      <x:c r="P63" s="114" t="n">
        <x:f aca="0">'P&amp;L'!P22</x:f>
        <x:v>333333.3333333333</x:v>
      </x:c>
      <x:c r="Q63" s="114" t="n">
        <x:f aca="0">'P&amp;L'!Q22</x:f>
        <x:v>333333.3333333333</x:v>
      </x:c>
      <x:c r="R63" s="114" t="n">
        <x:f aca="0">'P&amp;L'!R22</x:f>
        <x:v>333333.3333333333</x:v>
      </x:c>
      <x:c r="S63" s="114" t="n">
        <x:f aca="0">'P&amp;L'!S22</x:f>
        <x:v>333333.3333333333</x:v>
      </x:c>
      <x:c r="T63" s="114" t="n">
        <x:f aca="0">'P&amp;L'!T22</x:f>
        <x:v>333333.3333333333</x:v>
      </x:c>
      <x:c r="U63" s="114" t="n">
        <x:f aca="0">'P&amp;L'!U22</x:f>
        <x:v>333333.3333333333</x:v>
      </x:c>
      <x:c r="V63" s="114" t="n">
        <x:f aca="0">'P&amp;L'!V22</x:f>
        <x:v>333333.3333333333</x:v>
      </x:c>
      <x:c r="W63" s="114" t="n">
        <x:f aca="0">'P&amp;L'!W22</x:f>
        <x:v>333333.3333333333</x:v>
      </x:c>
      <x:c r="X63" s="114" t="n">
        <x:f aca="0">'P&amp;L'!X22</x:f>
        <x:v>333333.3333333333</x:v>
      </x:c>
      <x:c r="Y63" s="114" t="n">
        <x:f aca="0">'P&amp;L'!Y22</x:f>
        <x:v>333333.3333333333</x:v>
      </x:c>
      <x:c r="Z63" s="114" t="n">
        <x:f aca="0">SUM(B63:M63)</x:f>
        <x:v>4000000</x:v>
      </x:c>
      <x:c r="AA63" s="114" t="n">
        <x:f aca="0">SUM(N63:Y63)</x:f>
        <x:v>4000000.0000000005</x:v>
      </x:c>
      <x:c r="AB63" s="107"/>
      <x:c r="AC63" s="107"/>
    </x:row>
    <x:row r="64" ht="18" hidden="0" customHeight="1">
      <x:c r="A64" s="110" t="s">
        <x:v>239</x:v>
      </x:c>
      <x:c r="B64" s="114" t="n">
        <x:f aca="0">'P&amp;L'!B23</x:f>
        <x:v>-3573000.563852197</x:v>
      </x:c>
      <x:c r="C64" s="114" t="n">
        <x:f aca="0">'P&amp;L'!C23</x:f>
        <x:v>-3387302.795760578</x:v>
      </x:c>
      <x:c r="D64" s="114" t="n">
        <x:f aca="0">'P&amp;L'!D23</x:f>
        <x:v>-3194012.5667421673</x:v>
      </x:c>
      <x:c r="E64" s="114" t="n">
        <x:f aca="0">'P&amp;L'!E23</x:f>
        <x:v>-2767016.8914349372</x:v>
      </x:c>
      <x:c r="F64" s="114" t="n">
        <x:f aca="0">'P&amp;L'!F23</x:f>
        <x:v>-2107830.847513549</x:v>
      </x:c>
      <x:c r="G64" s="114" t="n">
        <x:f aca="0">'P&amp;L'!G23</x:f>
        <x:v>-1217223.5912700507</x:v>
      </x:c>
      <x:c r="H64" s="114" t="n">
        <x:f aca="0">'P&amp;L'!H23</x:f>
        <x:v>-695219.1439743631</x:v>
      </x:c>
      <x:c r="I64" s="114" t="n">
        <x:f aca="0">'P&amp;L'!I23</x:f>
        <x:v>658904.9966954149</x:v>
      </x:c>
      <x:c r="J64" s="114" t="n">
        <x:f aca="0">'P&amp;L'!J23</x:f>
        <x:v>2246621.4233344407</x:v>
      </x:c>
      <x:c r="K64" s="114" t="n">
        <x:f aca="0">'P&amp;L'!K23</x:f>
        <x:v>4070158.572821569</x:v>
      </x:c>
      <x:c r="L64" s="114" t="n">
        <x:f aca="0">'P&amp;L'!L23</x:f>
        <x:v>6132508.682878537</x:v>
      </x:c>
      <x:c r="M64" s="114" t="n">
        <x:f aca="0">'P&amp;L'!M23</x:f>
        <x:v>8437437.972380929</x:v>
      </x:c>
      <x:c r="N64" s="114" t="n">
        <x:f aca="0">'P&amp;L'!N23</x:f>
        <x:v>9674900.931926122</x:v>
      </x:c>
      <x:c r="O64" s="114" t="n">
        <x:f aca="0">'P&amp;L'!O23</x:f>
        <x:v>12659287.266845284</x:v>
      </x:c>
      <x:c r="P64" s="114" t="n">
        <x:f aca="0">'P&amp;L'!P23</x:f>
        <x:v>15900144.66864423</x:v>
      </x:c>
      <x:c r="Q64" s="114" t="n">
        <x:f aca="0">'P&amp;L'!Q23</x:f>
        <x:v>19389388.476441097</x:v>
      </x:c>
      <x:c r="R64" s="114" t="n">
        <x:f aca="0">'P&amp;L'!R23</x:f>
        <x:v>23119557.300419718</x:v>
      </x:c>
      <x:c r="S64" s="114" t="n">
        <x:f aca="0">'P&amp;L'!S23</x:f>
        <x:v>27083785.083867967</x:v>
      </x:c>
      <x:c r="T64" s="114" t="n">
        <x:f aca="0">'P&amp;L'!T23</x:f>
        <x:v>31275774.719472315</x:v>
      </x:c>
      <x:c r="U64" s="114" t="n">
        <x:f aca="0">'P&amp;L'!U23</x:f>
        <x:v>35689773.14182974</x:v>
      </x:c>
      <x:c r="V64" s="114" t="n">
        <x:f aca="0">'P&amp;L'!V23</x:f>
        <x:v>40320547.82233789</x:v>
      </x:c>
      <x:c r="W64" s="114" t="n">
        <x:f aca="0">'P&amp;L'!W23</x:f>
        <x:v>45163364.596598044</x:v>
      </x:c>
      <x:c r="X64" s="114" t="n">
        <x:f aca="0">'P&amp;L'!X23</x:f>
        <x:v>50213966.75822499</x:v>
      </x:c>
      <x:c r="Y64" s="114" t="n">
        <x:f aca="0">'P&amp;L'!Y23</x:f>
        <x:v>55468555.356516995</x:v>
      </x:c>
      <x:c r="Z64" s="114" t="n">
        <x:f aca="0">SUM(B64:M64)</x:f>
        <x:v>4604025.2475630455</x:v>
      </x:c>
      <x:c r="AA64" s="114" t="n">
        <x:f aca="0">SUM(N64:Y64)</x:f>
        <x:v>365959046.12312436</x:v>
      </x:c>
      <x:c r="AB64" s="107"/>
      <x:c r="AC64" s="107"/>
    </x:row>
    <x:row r="65" ht="18" hidden="0" customHeight="1">
      <x:c r="A65" s="110" t="s">
        <x:v>314</x:v>
      </x:c>
      <x:c r="B65" s="114" t="n">
        <x:f aca="0">'P&amp;L'!B24</x:f>
        <x:v>0</x:v>
      </x:c>
      <x:c r="C65" s="114" t="n">
        <x:f aca="0">'P&amp;L'!C24</x:f>
        <x:v>0</x:v>
      </x:c>
      <x:c r="D65" s="114" t="n">
        <x:f aca="0">'P&amp;L'!D24</x:f>
        <x:v>0</x:v>
      </x:c>
      <x:c r="E65" s="114" t="n">
        <x:f aca="0">'P&amp;L'!E24</x:f>
        <x:v>0</x:v>
      </x:c>
      <x:c r="F65" s="114" t="n">
        <x:f aca="0">'P&amp;L'!F24</x:f>
        <x:v>0</x:v>
      </x:c>
      <x:c r="G65" s="114" t="n">
        <x:f aca="0">'P&amp;L'!G24</x:f>
        <x:v>0</x:v>
      </x:c>
      <x:c r="H65" s="114" t="n">
        <x:f aca="0">'P&amp;L'!H24</x:f>
        <x:v>0</x:v>
      </x:c>
      <x:c r="I65" s="114" t="n">
        <x:f aca="0">'P&amp;L'!I24</x:f>
        <x:v>131780.99933908298</x:v>
      </x:c>
      <x:c r="J65" s="114" t="n">
        <x:f aca="0">'P&amp;L'!J24</x:f>
        <x:v>449324.2846668882</x:v>
      </x:c>
      <x:c r="K65" s="114" t="n">
        <x:f aca="0">'P&amp;L'!K24</x:f>
        <x:v>814031.7145643139</x:v>
      </x:c>
      <x:c r="L65" s="114" t="n">
        <x:f aca="0">'P&amp;L'!L24</x:f>
        <x:v>1226501.7365757076</x:v>
      </x:c>
      <x:c r="M65" s="114" t="n">
        <x:f aca="0">'P&amp;L'!M24</x:f>
        <x:v>1687487.5944761857</x:v>
      </x:c>
      <x:c r="N65" s="114" t="n">
        <x:f aca="0">'P&amp;L'!N24</x:f>
        <x:v>1934980.1863852246</x:v>
      </x:c>
      <x:c r="O65" s="114" t="n">
        <x:f aca="0">'P&amp;L'!O24</x:f>
        <x:v>2531857.453369057</x:v>
      </x:c>
      <x:c r="P65" s="114" t="n">
        <x:f aca="0">'P&amp;L'!P24</x:f>
        <x:v>3180028.9337288463</x:v>
      </x:c>
      <x:c r="Q65" s="114" t="n">
        <x:f aca="0">'P&amp;L'!Q24</x:f>
        <x:v>3877877.6952882195</x:v>
      </x:c>
      <x:c r="R65" s="114" t="n">
        <x:f aca="0">'P&amp;L'!R24</x:f>
        <x:v>4623911.460083944</x:v>
      </x:c>
      <x:c r="S65" s="114" t="n">
        <x:f aca="0">'P&amp;L'!S24</x:f>
        <x:v>5416757.016773594</x:v>
      </x:c>
      <x:c r="T65" s="114" t="n">
        <x:f aca="0">'P&amp;L'!T24</x:f>
        <x:v>6255154.943894464</x:v>
      </x:c>
      <x:c r="U65" s="114" t="n">
        <x:f aca="0">'P&amp;L'!U24</x:f>
        <x:v>7137954.628365948</x:v>
      </x:c>
      <x:c r="V65" s="114" t="n">
        <x:f aca="0">'P&amp;L'!V24</x:f>
        <x:v>8064109.564467578</x:v>
      </x:c>
      <x:c r="W65" s="114" t="n">
        <x:f aca="0">'P&amp;L'!W24</x:f>
        <x:v>9032672.91931961</x:v>
      </x:c>
      <x:c r="X65" s="114" t="n">
        <x:f aca="0">'P&amp;L'!X24</x:f>
        <x:v>10042793.351644998</x:v>
      </x:c>
      <x:c r="Y65" s="114" t="n">
        <x:f aca="0">'P&amp;L'!Y24</x:f>
        <x:v>11093711.0713034</x:v>
      </x:c>
      <x:c r="Z65" s="114" t="n">
        <x:f aca="0">SUM(B65:M65)</x:f>
        <x:v>4309126.329622178</x:v>
      </x:c>
      <x:c r="AA65" s="114" t="n">
        <x:f aca="0">SUM(N65:Y65)</x:f>
        <x:v>73191809.22462489</x:v>
      </x:c>
      <x:c r="AB65" s="107"/>
      <x:c r="AC65" s="107"/>
    </x:row>
    <x:row r="66" ht="18" hidden="0" customHeight="1">
      <x:c r="A66" s="110" t="s">
        <x:v>250</x:v>
      </x:c>
      <x:c r="B66" s="114" t="n">
        <x:f aca="0">'Cash Flow'!B9</x:f>
        <x:v>-3573000.563852197</x:v>
      </x:c>
      <x:c r="C66" s="114" t="n">
        <x:f aca="0">'Cash Flow'!C9</x:f>
        <x:v>-3387302.795760578</x:v>
      </x:c>
      <x:c r="D66" s="114" t="n">
        <x:f aca="0">'Cash Flow'!D9</x:f>
        <x:v>-3194012.5667421673</x:v>
      </x:c>
      <x:c r="E66" s="114" t="n">
        <x:f aca="0">'Cash Flow'!E9</x:f>
        <x:v>-2767016.8914349372</x:v>
      </x:c>
      <x:c r="F66" s="114" t="n">
        <x:f aca="0">'Cash Flow'!F9</x:f>
        <x:v>-2107830.847513549</x:v>
      </x:c>
      <x:c r="G66" s="114" t="n">
        <x:f aca="0">'Cash Flow'!G9</x:f>
        <x:v>-1217223.5912700507</x:v>
      </x:c>
      <x:c r="H66" s="114" t="n">
        <x:f aca="0">'Cash Flow'!H9</x:f>
        <x:v>-695219.1439743631</x:v>
      </x:c>
      <x:c r="I66" s="114" t="n">
        <x:f aca="0">'Cash Flow'!I9</x:f>
        <x:v>527123.9973563319</x:v>
      </x:c>
      <x:c r="J66" s="114" t="n">
        <x:f aca="0">'Cash Flow'!J9</x:f>
        <x:v>1797297.1386675525</x:v>
      </x:c>
      <x:c r="K66" s="114" t="n">
        <x:f aca="0">'Cash Flow'!K9</x:f>
        <x:v>3256126.8582572555</x:v>
      </x:c>
      <x:c r="L66" s="114" t="n">
        <x:f aca="0">'Cash Flow'!L9</x:f>
        <x:v>4906006.946302829</x:v>
      </x:c>
      <x:c r="M66" s="114" t="n">
        <x:f aca="0">'Cash Flow'!M9</x:f>
        <x:v>6749950.377904743</x:v>
      </x:c>
      <x:c r="N66" s="114" t="n">
        <x:f aca="0">'Cash Flow'!N9</x:f>
        <x:v>7739920.745540897</x:v>
      </x:c>
      <x:c r="O66" s="114" t="n">
        <x:f aca="0">'Cash Flow'!O9</x:f>
        <x:v>10127429.813476227</x:v>
      </x:c>
      <x:c r="P66" s="114" t="n">
        <x:f aca="0">'Cash Flow'!P9</x:f>
        <x:v>12720115.734915385</x:v>
      </x:c>
      <x:c r="Q66" s="114" t="n">
        <x:f aca="0">'Cash Flow'!Q9</x:f>
        <x:v>15511510.781152878</x:v>
      </x:c>
      <x:c r="R66" s="114" t="n">
        <x:f aca="0">'Cash Flow'!R9</x:f>
        <x:v>18495645.840335775</x:v>
      </x:c>
      <x:c r="S66" s="114" t="n">
        <x:f aca="0">'Cash Flow'!S9</x:f>
        <x:v>21667028.067094374</x:v>
      </x:c>
      <x:c r="T66" s="114" t="n">
        <x:f aca="0">'Cash Flow'!T9</x:f>
        <x:v>25020619.77557785</x:v>
      </x:c>
      <x:c r="U66" s="114" t="n">
        <x:f aca="0">'Cash Flow'!U9</x:f>
        <x:v>28551818.513463788</x:v>
      </x:c>
      <x:c r="V66" s="114" t="n">
        <x:f aca="0">'Cash Flow'!V9</x:f>
        <x:v>32256438.25787031</x:v>
      </x:c>
      <x:c r="W66" s="114" t="n">
        <x:f aca="0">'Cash Flow'!W9</x:f>
        <x:v>36130691.67727844</x:v>
      </x:c>
      <x:c r="X66" s="114" t="n">
        <x:f aca="0">'Cash Flow'!X9</x:f>
        <x:v>40171173.406579986</x:v>
      </x:c>
      <x:c r="Y66" s="114" t="n">
        <x:f aca="0">'Cash Flow'!Y9</x:f>
        <x:v>44374844.2852136</x:v>
      </x:c>
      <x:c r="Z66" s="114" t="n">
        <x:f aca="0">SUM(B66:M66)</x:f>
        <x:v>294898.91794086806</x:v>
      </x:c>
      <x:c r="AA66" s="114" t="n">
        <x:f aca="0">SUM(N66:Y66)</x:f>
        <x:v>292767236.8984995</x:v>
      </x:c>
      <x:c r="AB66" s="107"/>
      <x:c r="AC66" s="107"/>
    </x:row>
    <x:row r="67" ht="18" hidden="0" customHeight="1">
      <x:c r="A67" s="110" t="s">
        <x:v>315</x:v>
      </x:c>
      <x:c r="B67" s="114" t="n">
        <x:f aca="0">'Cash Flow'!B11</x:f>
        <x:v>-3239667.230518864</x:v>
      </x:c>
      <x:c r="C67" s="114" t="n">
        <x:f aca="0">'Cash Flow'!C11</x:f>
        <x:v>-3053969.4624272445</x:v>
      </x:c>
      <x:c r="D67" s="114" t="n">
        <x:f aca="0">'Cash Flow'!D11</x:f>
        <x:v>-2860679.233408834</x:v>
      </x:c>
      <x:c r="E67" s="114" t="n">
        <x:f aca="0">'Cash Flow'!E11</x:f>
        <x:v>-2433683.5581016038</x:v>
      </x:c>
      <x:c r="F67" s="114" t="n">
        <x:f aca="0">'Cash Flow'!F11</x:f>
        <x:v>-1774497.5141802158</x:v>
      </x:c>
      <x:c r="G67" s="114" t="n">
        <x:f aca="0">'Cash Flow'!G11</x:f>
        <x:v>-883890.2579367175</x:v>
      </x:c>
      <x:c r="H67" s="114" t="n">
        <x:f aca="0">'Cash Flow'!H11</x:f>
        <x:v>-361885.8106410298</x:v>
      </x:c>
      <x:c r="I67" s="114" t="n">
        <x:f aca="0">'Cash Flow'!I11</x:f>
        <x:v>860457.3306896652</x:v>
      </x:c>
      <x:c r="J67" s="114" t="n">
        <x:f aca="0">'Cash Flow'!J11</x:f>
        <x:v>2130630.4720008858</x:v>
      </x:c>
      <x:c r="K67" s="114" t="n">
        <x:f aca="0">'Cash Flow'!K11</x:f>
        <x:v>3589460.191590589</x:v>
      </x:c>
      <x:c r="L67" s="114" t="n">
        <x:f aca="0">'Cash Flow'!L11</x:f>
        <x:v>5239340.279636162</x:v>
      </x:c>
      <x:c r="M67" s="114" t="n">
        <x:f aca="0">'Cash Flow'!M11</x:f>
        <x:v>7083283.711238076</x:v>
      </x:c>
      <x:c r="N67" s="114" t="n">
        <x:f aca="0">'Cash Flow'!N11</x:f>
        <x:v>8073254.07887423</x:v>
      </x:c>
      <x:c r="O67" s="114" t="n">
        <x:f aca="0">'Cash Flow'!O11</x:f>
        <x:v>10460763.146809561</x:v>
      </x:c>
      <x:c r="P67" s="114" t="n">
        <x:f aca="0">'Cash Flow'!P11</x:f>
        <x:v>13053449.068248719</x:v>
      </x:c>
      <x:c r="Q67" s="114" t="n">
        <x:f aca="0">'Cash Flow'!Q11</x:f>
        <x:v>15844844.114486212</x:v>
      </x:c>
      <x:c r="R67" s="114" t="n">
        <x:f aca="0">'Cash Flow'!R11</x:f>
        <x:v>18828979.173669107</x:v>
      </x:c>
      <x:c r="S67" s="114" t="n">
        <x:f aca="0">'Cash Flow'!S11</x:f>
        <x:v>22000361.400427707</x:v>
      </x:c>
      <x:c r="T67" s="114" t="n">
        <x:f aca="0">'Cash Flow'!T11</x:f>
        <x:v>25353953.108911183</x:v>
      </x:c>
      <x:c r="U67" s="114" t="n">
        <x:f aca="0">'Cash Flow'!U11</x:f>
        <x:v>28885151.84679712</x:v>
      </x:c>
      <x:c r="V67" s="114" t="n">
        <x:f aca="0">'Cash Flow'!V11</x:f>
        <x:v>32589771.59120364</x:v>
      </x:c>
      <x:c r="W67" s="114" t="n">
        <x:f aca="0">'Cash Flow'!W11</x:f>
        <x:v>36464025.01061177</x:v>
      </x:c>
      <x:c r="X67" s="114" t="n">
        <x:f aca="0">'Cash Flow'!X11</x:f>
        <x:v>40504506.73991332</x:v>
      </x:c>
      <x:c r="Y67" s="114" t="n">
        <x:f aca="0">'Cash Flow'!Y11</x:f>
        <x:v>44708177.61854693</x:v>
      </x:c>
      <x:c r="Z67" s="114" t="n">
        <x:f aca="0">SUM(B67:M67)</x:f>
        <x:v>4294898.91794087</x:v>
      </x:c>
      <x:c r="AA67" s="114" t="n">
        <x:f aca="0">SUM(N67:Y67)</x:f>
        <x:v>296767236.8984995</x:v>
      </x:c>
      <x:c r="AB67" s="107"/>
      <x:c r="AC67" s="107"/>
    </x:row>
    <x:row r="68" ht="18" hidden="0" customHeight="1">
      <x:c r="A68" s="110" t="s">
        <x:v>316</x:v>
      </x:c>
      <x:c r="B68" s="114" t="n">
        <x:f aca="0">'Cash Flow'!B14+'Cash Flow'!B16</x:f>
        <x:v>-8000000</x:v>
      </x:c>
      <x:c r="C68" s="114" t="n">
        <x:f aca="0">'Cash Flow'!C14+'Cash Flow'!C16</x:f>
        <x:v>0</x:v>
      </x:c>
      <x:c r="D68" s="114" t="n">
        <x:f aca="0">'Cash Flow'!D14+'Cash Flow'!D16</x:f>
        <x:v>0</x:v>
      </x:c>
      <x:c r="E68" s="114" t="n">
        <x:f aca="0">'Cash Flow'!E14+'Cash Flow'!E16</x:f>
        <x:v>0</x:v>
      </x:c>
      <x:c r="F68" s="114" t="n">
        <x:f aca="0">'Cash Flow'!F14+'Cash Flow'!F16</x:f>
        <x:v>0</x:v>
      </x:c>
      <x:c r="G68" s="114" t="n">
        <x:f aca="0">'Cash Flow'!G14+'Cash Flow'!G16</x:f>
        <x:v>0</x:v>
      </x:c>
      <x:c r="H68" s="114" t="n">
        <x:f aca="0">'Cash Flow'!H14+'Cash Flow'!H16</x:f>
        <x:v>0</x:v>
      </x:c>
      <x:c r="I68" s="114" t="n">
        <x:f aca="0">'Cash Flow'!I14+'Cash Flow'!I16</x:f>
        <x:v>0</x:v>
      </x:c>
      <x:c r="J68" s="114" t="n">
        <x:f aca="0">'Cash Flow'!J14+'Cash Flow'!J16</x:f>
        <x:v>0</x:v>
      </x:c>
      <x:c r="K68" s="114" t="n">
        <x:f aca="0">'Cash Flow'!K14+'Cash Flow'!K16</x:f>
        <x:v>0</x:v>
      </x:c>
      <x:c r="L68" s="114" t="n">
        <x:f aca="0">'Cash Flow'!L14+'Cash Flow'!L16</x:f>
        <x:v>0</x:v>
      </x:c>
      <x:c r="M68" s="114" t="n">
        <x:f aca="0">'Cash Flow'!M14+'Cash Flow'!M16</x:f>
        <x:v>0</x:v>
      </x:c>
      <x:c r="N68" s="114" t="n">
        <x:f aca="0">'Cash Flow'!N14+'Cash Flow'!N16</x:f>
        <x:v>0</x:v>
      </x:c>
      <x:c r="O68" s="114" t="n">
        <x:f aca="0">'Cash Flow'!O14+'Cash Flow'!O16</x:f>
        <x:v>0</x:v>
      </x:c>
      <x:c r="P68" s="114" t="n">
        <x:f aca="0">'Cash Flow'!P14+'Cash Flow'!P16</x:f>
        <x:v>0</x:v>
      </x:c>
      <x:c r="Q68" s="114" t="n">
        <x:f aca="0">'Cash Flow'!Q14+'Cash Flow'!Q16</x:f>
        <x:v>0</x:v>
      </x:c>
      <x:c r="R68" s="114" t="n">
        <x:f aca="0">'Cash Flow'!R14+'Cash Flow'!R16</x:f>
        <x:v>0</x:v>
      </x:c>
      <x:c r="S68" s="114" t="n">
        <x:f aca="0">'Cash Flow'!S14+'Cash Flow'!S16</x:f>
        <x:v>0</x:v>
      </x:c>
      <x:c r="T68" s="114" t="n">
        <x:f aca="0">'Cash Flow'!T14+'Cash Flow'!T16</x:f>
        <x:v>0</x:v>
      </x:c>
      <x:c r="U68" s="114" t="n">
        <x:f aca="0">'Cash Flow'!U14+'Cash Flow'!U16</x:f>
        <x:v>0</x:v>
      </x:c>
      <x:c r="V68" s="114" t="n">
        <x:f aca="0">'Cash Flow'!V14+'Cash Flow'!V16</x:f>
        <x:v>0</x:v>
      </x:c>
      <x:c r="W68" s="114" t="n">
        <x:f aca="0">'Cash Flow'!W14+'Cash Flow'!W16</x:f>
        <x:v>0</x:v>
      </x:c>
      <x:c r="X68" s="114" t="n">
        <x:f aca="0">'Cash Flow'!X14+'Cash Flow'!X16</x:f>
        <x:v>0</x:v>
      </x:c>
      <x:c r="Y68" s="114" t="n">
        <x:f aca="0">'Cash Flow'!Y14+'Cash Flow'!Y16</x:f>
        <x:v>0</x:v>
      </x:c>
      <x:c r="Z68" s="114" t="n">
        <x:f aca="0">SUM(B68:M68)</x:f>
        <x:v>-8000000</x:v>
      </x:c>
      <x:c r="AA68" s="114" t="n">
        <x:f aca="0">SUM(N68:Y68)</x:f>
        <x:v>0</x:v>
      </x:c>
      <x:c r="AB68" s="107"/>
      <x:c r="AC68" s="107"/>
    </x:row>
    <x:row r="69" ht="18" hidden="0" customHeight="1">
      <x:c r="A69" s="110" t="s">
        <x:v>255</x:v>
      </x:c>
      <x:c r="B69" s="114" t="n">
        <x:f aca="0">'Cash Flow'!B15</x:f>
        <x:v>0</x:v>
      </x:c>
      <x:c r="C69" s="114" t="n">
        <x:f aca="0">'Cash Flow'!C15</x:f>
        <x:v>0</x:v>
      </x:c>
      <x:c r="D69" s="114" t="n">
        <x:f aca="0">'Cash Flow'!D15</x:f>
        <x:v>0</x:v>
      </x:c>
      <x:c r="E69" s="114" t="n">
        <x:f aca="0">'Cash Flow'!E15</x:f>
        <x:v>0</x:v>
      </x:c>
      <x:c r="F69" s="114" t="n">
        <x:f aca="0">'Cash Flow'!F15</x:f>
        <x:v>0</x:v>
      </x:c>
      <x:c r="G69" s="114" t="n">
        <x:f aca="0">'Cash Flow'!G15</x:f>
        <x:v>0</x:v>
      </x:c>
      <x:c r="H69" s="114" t="n">
        <x:f aca="0">'Cash Flow'!H15</x:f>
        <x:v>0</x:v>
      </x:c>
      <x:c r="I69" s="114" t="n">
        <x:f aca="0">'Cash Flow'!I15</x:f>
        <x:v>0</x:v>
      </x:c>
      <x:c r="J69" s="114" t="n">
        <x:f aca="0">'Cash Flow'!J15</x:f>
        <x:v>0</x:v>
      </x:c>
      <x:c r="K69" s="114" t="n">
        <x:f aca="0">'Cash Flow'!K15</x:f>
        <x:v>0</x:v>
      </x:c>
      <x:c r="L69" s="114" t="n">
        <x:f aca="0">'Cash Flow'!L15</x:f>
        <x:v>0</x:v>
      </x:c>
      <x:c r="M69" s="114" t="n">
        <x:f aca="0">'Cash Flow'!M15</x:f>
        <x:v>0</x:v>
      </x:c>
      <x:c r="N69" s="114" t="n">
        <x:f aca="0">'Cash Flow'!N15</x:f>
        <x:v>0</x:v>
      </x:c>
      <x:c r="O69" s="114" t="n">
        <x:f aca="0">'Cash Flow'!O15</x:f>
        <x:v>0</x:v>
      </x:c>
      <x:c r="P69" s="114" t="n">
        <x:f aca="0">'Cash Flow'!P15</x:f>
        <x:v>0</x:v>
      </x:c>
      <x:c r="Q69" s="114" t="n">
        <x:f aca="0">'Cash Flow'!Q15</x:f>
        <x:v>0</x:v>
      </x:c>
      <x:c r="R69" s="114" t="n">
        <x:f aca="0">'Cash Flow'!R15</x:f>
        <x:v>0</x:v>
      </x:c>
      <x:c r="S69" s="114" t="n">
        <x:f aca="0">'Cash Flow'!S15</x:f>
        <x:v>0</x:v>
      </x:c>
      <x:c r="T69" s="114" t="n">
        <x:f aca="0">'Cash Flow'!T15</x:f>
        <x:v>0</x:v>
      </x:c>
      <x:c r="U69" s="114" t="n">
        <x:f aca="0">'Cash Flow'!U15</x:f>
        <x:v>0</x:v>
      </x:c>
      <x:c r="V69" s="114" t="n">
        <x:f aca="0">'Cash Flow'!V15</x:f>
        <x:v>0</x:v>
      </x:c>
      <x:c r="W69" s="114" t="n">
        <x:f aca="0">'Cash Flow'!W15</x:f>
        <x:v>0</x:v>
      </x:c>
      <x:c r="X69" s="114" t="n">
        <x:f aca="0">'Cash Flow'!X15</x:f>
        <x:v>0</x:v>
      </x:c>
      <x:c r="Y69" s="114" t="n">
        <x:f aca="0">'Cash Flow'!Y15</x:f>
        <x:v>0</x:v>
      </x:c>
      <x:c r="Z69" s="114" t="n">
        <x:f aca="0">SUM(B69:M69)</x:f>
        <x:v>0</x:v>
      </x:c>
      <x:c r="AA69" s="114" t="n">
        <x:f aca="0">SUM(N69:Y69)</x:f>
        <x:v>0</x:v>
      </x:c>
      <x:c r="AB69" s="107"/>
      <x:c r="AC69" s="107"/>
    </x:row>
    <x:row r="70" ht="18" hidden="0" customHeight="1">
      <x:c r="A70" s="115" t="s">
        <x:v>259</x:v>
      </x:c>
      <x:c r="B70" s="116" t="n">
        <x:f aca="0">'Cash Flow'!B19</x:f>
        <x:v>-11239667.230518864</x:v>
      </x:c>
      <x:c r="C70" s="116" t="n">
        <x:f aca="0">'Cash Flow'!C19</x:f>
        <x:v>-3053969.4624272445</x:v>
      </x:c>
      <x:c r="D70" s="116" t="n">
        <x:f aca="0">'Cash Flow'!D19</x:f>
        <x:v>-2860679.233408834</x:v>
      </x:c>
      <x:c r="E70" s="116" t="n">
        <x:f aca="0">'Cash Flow'!E19</x:f>
        <x:v>-2433683.5581016038</x:v>
      </x:c>
      <x:c r="F70" s="116" t="n">
        <x:f aca="0">'Cash Flow'!F19</x:f>
        <x:v>-1774497.5141802158</x:v>
      </x:c>
      <x:c r="G70" s="116" t="n">
        <x:f aca="0">'Cash Flow'!G19</x:f>
        <x:v>-883890.2579367175</x:v>
      </x:c>
      <x:c r="H70" s="116" t="n">
        <x:f aca="0">'Cash Flow'!H19</x:f>
        <x:v>-361885.8106410298</x:v>
      </x:c>
      <x:c r="I70" s="116" t="n">
        <x:f aca="0">'Cash Flow'!I19</x:f>
        <x:v>860457.3306896652</x:v>
      </x:c>
      <x:c r="J70" s="116" t="n">
        <x:f aca="0">'Cash Flow'!J19</x:f>
        <x:v>2130630.4720008858</x:v>
      </x:c>
      <x:c r="K70" s="116" t="n">
        <x:f aca="0">'Cash Flow'!K19</x:f>
        <x:v>3589460.191590589</x:v>
      </x:c>
      <x:c r="L70" s="116" t="n">
        <x:f aca="0">'Cash Flow'!L19</x:f>
        <x:v>5239340.279636162</x:v>
      </x:c>
      <x:c r="M70" s="116" t="n">
        <x:f aca="0">'Cash Flow'!M19</x:f>
        <x:v>7083283.711238076</x:v>
      </x:c>
      <x:c r="N70" s="116" t="n">
        <x:f aca="0">'Cash Flow'!N19</x:f>
        <x:v>8073254.07887423</x:v>
      </x:c>
      <x:c r="O70" s="116" t="n">
        <x:f aca="0">'Cash Flow'!O19</x:f>
        <x:v>10460763.146809561</x:v>
      </x:c>
      <x:c r="P70" s="116" t="n">
        <x:f aca="0">'Cash Flow'!P19</x:f>
        <x:v>13053449.068248719</x:v>
      </x:c>
      <x:c r="Q70" s="116" t="n">
        <x:f aca="0">'Cash Flow'!Q19</x:f>
        <x:v>15844844.114486212</x:v>
      </x:c>
      <x:c r="R70" s="116" t="n">
        <x:f aca="0">'Cash Flow'!R19</x:f>
        <x:v>18828979.173669107</x:v>
      </x:c>
      <x:c r="S70" s="116" t="n">
        <x:f aca="0">'Cash Flow'!S19</x:f>
        <x:v>22000361.400427707</x:v>
      </x:c>
      <x:c r="T70" s="116" t="n">
        <x:f aca="0">'Cash Flow'!T19</x:f>
        <x:v>25353953.108911183</x:v>
      </x:c>
      <x:c r="U70" s="116" t="n">
        <x:f aca="0">'Cash Flow'!U19</x:f>
        <x:v>28885151.84679712</x:v>
      </x:c>
      <x:c r="V70" s="116" t="n">
        <x:f aca="0">'Cash Flow'!V19</x:f>
        <x:v>32589771.59120364</x:v>
      </x:c>
      <x:c r="W70" s="116" t="n">
        <x:f aca="0">'Cash Flow'!W19</x:f>
        <x:v>36464025.01061177</x:v>
      </x:c>
      <x:c r="X70" s="116" t="n">
        <x:f aca="0">'Cash Flow'!X19</x:f>
        <x:v>40504506.73991332</x:v>
      </x:c>
      <x:c r="Y70" s="116" t="n">
        <x:f aca="0">'Cash Flow'!Y19</x:f>
        <x:v>44708177.61854693</x:v>
      </x:c>
      <x:c r="Z70" s="116" t="n">
        <x:f aca="0">SUM(B70:M70)</x:f>
        <x:v>-3705101.082059129</x:v>
      </x:c>
      <x:c r="AA70" s="116" t="n">
        <x:f aca="0">SUM(N70:Y70)</x:f>
        <x:v>296767236.8984995</x:v>
      </x:c>
      <x:c r="AB70" s="107"/>
      <x:c r="AC70" s="107"/>
    </x:row>
    <x:row r="71" ht="18" hidden="0" customHeight="1">
      <x:c r="A71" s="110" t="s">
        <x:v>273</x:v>
      </x:c>
      <x:c r="B71" s="119" t="n">
        <x:f aca="0">'Cash Flow'!B21</x:f>
        <x:v>0.984921375260889</x:v>
      </x:c>
      <x:c r="C71" s="119" t="n">
        <x:f aca="0">'Cash Flow'!C21</x:f>
        <x:v>0.9700701154458005</x:v>
      </x:c>
      <x:c r="D71" s="119" t="n">
        <x:f aca="0">'Cash Flow'!D21</x:f>
        <x:v>0.9554427922043668</x:v>
      </x:c>
      <x:c r="E71" s="119" t="n">
        <x:f aca="0">'Cash Flow'!E21</x:f>
        <x:v>0.9410360288810284</x:v>
      </x:c>
      <x:c r="F71" s="119" t="n">
        <x:f aca="0">'Cash Flow'!F21</x:f>
        <x:v>0.926846499735548</x:v>
      </x:c>
      <x:c r="G71" s="119" t="n">
        <x:f aca="0">'Cash Flow'!G21</x:f>
        <x:v>0.9128709291752769</x:v>
      </x:c>
      <x:c r="H71" s="119" t="n">
        <x:f aca="0">'Cash Flow'!H21</x:f>
        <x:v>0.899106090998999</x:v>
      </x:c>
      <x:c r="I71" s="119" t="n">
        <x:f aca="0">'Cash Flow'!I21</x:f>
        <x:v>0.8855488076521759</x:v>
      </x:c>
      <x:c r="J71" s="119" t="n">
        <x:f aca="0">'Cash Flow'!J21</x:f>
        <x:v>0.8721959494934213</x:v>
      </x:c>
      <x:c r="K71" s="119" t="n">
        <x:f aca="0">'Cash Flow'!K21</x:f>
        <x:v>0.8590444340720371</x:v>
      </x:c>
      <x:c r="L71" s="119" t="n">
        <x:f aca="0">'Cash Flow'!L21</x:f>
        <x:v>0.8460912254164427</x:v>
      </x:c>
      <x:c r="M71" s="119" t="n">
        <x:f aca="0">'Cash Flow'!M21</x:f>
        <x:v>0.8333333333333334</x:v>
      </x:c>
      <x:c r="N71" s="119" t="n">
        <x:f aca="0">'Cash Flow'!N21</x:f>
        <x:v>0.8207678127174073</x:v>
      </x:c>
      <x:c r="O71" s="119" t="n">
        <x:f aca="0">'Cash Flow'!O21</x:f>
        <x:v>0.8083917628715004</x:v>
      </x:c>
      <x:c r="P71" s="119" t="n">
        <x:f aca="0">'Cash Flow'!P21</x:f>
        <x:v>0.7962023268369725</x:v>
      </x:c>
      <x:c r="Q71" s="119" t="n">
        <x:f aca="0">'Cash Flow'!Q21</x:f>
        <x:v>0.7841966907341904</x:v>
      </x:c>
      <x:c r="R71" s="119" t="n">
        <x:f aca="0">'Cash Flow'!R21</x:f>
        <x:v>0.7723720831129566</x:v>
      </x:c>
      <x:c r="S71" s="119" t="n">
        <x:f aca="0">'Cash Flow'!S21</x:f>
        <x:v>0.7607257743127308</x:v>
      </x:c>
      <x:c r="T71" s="119" t="n">
        <x:f aca="0">'Cash Flow'!T21</x:f>
        <x:v>0.7492550758324993</x:v>
      </x:c>
      <x:c r="U71" s="119" t="n">
        <x:f aca="0">'Cash Flow'!U21</x:f>
        <x:v>0.7379573397101465</x:v>
      </x:c>
      <x:c r="V71" s="119" t="n">
        <x:f aca="0">'Cash Flow'!V21</x:f>
        <x:v>0.7268299579111844</x:v>
      </x:c>
      <x:c r="W71" s="119" t="n">
        <x:f aca="0">'Cash Flow'!W21</x:f>
        <x:v>0.7158703617266977</x:v>
      </x:c>
      <x:c r="X71" s="119" t="n">
        <x:f aca="0">'Cash Flow'!X21</x:f>
        <x:v>0.7050760211803689</x:v>
      </x:c>
      <x:c r="Y71" s="119" t="n">
        <x:f aca="0">'Cash Flow'!Y21</x:f>
        <x:v>0.6944444444444444</x:v>
      </x:c>
      <x:c r="Z71" s="119" t="n">
        <x:f aca="0">AVERAGE(B71:M71)</x:f>
        <x:v>0.9072089651391101</x:v>
      </x:c>
      <x:c r="AA71" s="119" t="n">
        <x:f aca="0">AVERAGE(N71:Y71)</x:f>
        <x:v>0.7560074709492585</x:v>
      </x:c>
      <x:c r="AB71" s="107"/>
      <x:c r="AC71" s="107"/>
    </x:row>
    <x:row r="72" ht="18" hidden="0" customHeight="1">
      <x:c r="A72" s="115" t="s">
        <x:v>317</x:v>
      </x:c>
      <x:c r="B72" s="116" t="n">
        <x:f aca="0">'Cash Flow'!B22</x:f>
        <x:v>-11070188.506157387</x:v>
      </x:c>
      <x:c r="C72" s="116" t="n">
        <x:f aca="0">'Cash Flow'!C22</x:f>
        <x:v>-2962564.5089847464</x:v>
      </x:c>
      <x:c r="D72" s="116" t="n">
        <x:f aca="0">'Cash Flow'!D22</x:f>
        <x:v>-2733215.3543691835</x:v>
      </x:c>
      <x:c r="E72" s="116" t="n">
        <x:f aca="0">'Cash Flow'!E22</x:f>
        <x:v>-2290183.911068985</x:v>
      </x:c>
      <x:c r="F72" s="116" t="n">
        <x:f aca="0">'Cash Flow'!F22</x:f>
        <x:v>-1644686.809807364</x:v>
      </x:c>
      <x:c r="G72" s="116" t="n">
        <x:f aca="0">'Cash Flow'!G22</x:f>
        <x:v>-806877.7210516664</x:v>
      </x:c>
      <x:c r="H72" s="116" t="n">
        <x:f aca="0">'Cash Flow'!H22</x:f>
        <x:v>-325373.73659346026</x:v>
      </x:c>
      <x:c r="I72" s="116" t="n">
        <x:f aca="0">'Cash Flow'!I22</x:f>
        <x:v>761976.9632278071</x:v>
      </x:c>
      <x:c r="J72" s="116" t="n">
        <x:f aca="0">'Cash Flow'!J22</x:f>
        <x:v>1858327.2675464288</x:v>
      </x:c>
      <x:c r="K72" s="116" t="n">
        <x:f aca="0">'Cash Flow'!K22</x:f>
        <x:v>3083505.7989090434</x:v>
      </x:c>
      <x:c r="L72" s="116" t="n">
        <x:f aca="0">'Cash Flow'!L22</x:f>
        <x:v>4432959.837571088</x:v>
      </x:c>
      <x:c r="M72" s="116" t="n">
        <x:f aca="0">'Cash Flow'!M22</x:f>
        <x:v>5902736.42603173</x:v>
      </x:c>
      <x:c r="N72" s="116" t="n">
        <x:f aca="0">'Cash Flow'!N22</x:f>
        <x:v>6626267.091829489</x:v>
      </x:c>
      <x:c r="O72" s="116" t="n">
        <x:f aca="0">'Cash Flow'!O22</x:f>
        <x:v>8456394.761230605</x:v>
      </x:c>
      <x:c r="P72" s="116" t="n">
        <x:f aca="0">'Cash Flow'!P22</x:f>
        <x:v>10393186.52138754</x:v>
      </x:c>
      <x:c r="Q72" s="116" t="n">
        <x:f aca="0">'Cash Flow'!Q22</x:f>
        <x:v>12425474.3197792</x:v>
      </x:c>
      <x:c r="R72" s="116" t="n">
        <x:f aca="0">'Cash Flow'!R22</x:f>
        <x:v>14542977.867257284</x:v>
      </x:c>
      <x:c r="S72" s="116" t="n">
        <x:f aca="0">'Cash Flow'!S22</x:f>
        <x:v>16736241.961500281</x:v>
      </x:c>
      <x:c r="T72" s="116" t="n">
        <x:f aca="0">'Cash Flow'!T22</x:f>
        <x:v>18996578.059270877</x:v>
      </x:c>
      <x:c r="U72" s="116" t="n">
        <x:f aca="0">'Cash Flow'!U22</x:f>
        <x:v>21316009.81398603</x:v>
      </x:c>
      <x:c r="V72" s="116" t="n">
        <x:f aca="0">'Cash Flow'!V22</x:f>
        <x:v>23687222.313969657</x:v>
      </x:c>
      <x:c r="W72" s="116" t="n">
        <x:f aca="0">'Cash Flow'!W22</x:f>
        <x:v>26103514.774358</x:v>
      </x:c>
      <x:c r="X72" s="116" t="n">
        <x:f aca="0">'Cash Flow'!X22</x:f>
        <x:v>28558756.45205152</x:v>
      </x:c>
      <x:c r="Y72" s="116" t="n">
        <x:f aca="0">'Cash Flow'!Y22</x:f>
        <x:v>31047345.568435367</x:v>
      </x:c>
      <x:c r="Z72" s="116" t="n">
        <x:f aca="0">SUM(B72:M72)</x:f>
        <x:v>-5793584.254746689</x:v>
      </x:c>
      <x:c r="AA72" s="116" t="n">
        <x:f aca="0">SUM(N72:Y72)</x:f>
        <x:v>218889969.50505584</x:v>
      </x:c>
      <x:c r="AB72" s="107"/>
      <x:c r="AC72" s="107"/>
    </x:row>
    <x:row r="73" ht="7.5" hidden="0" customHeight="1">
      <x:c r="A73" s="107"/>
      <x:c r="B73" s="120"/>
      <x:c r="C73" s="120"/>
      <x:c r="D73" s="120"/>
      <x:c r="E73" s="120"/>
      <x:c r="F73" s="120"/>
      <x:c r="G73" s="120"/>
      <x:c r="H73" s="120"/>
      <x:c r="I73" s="120"/>
      <x:c r="J73" s="120"/>
      <x:c r="K73" s="120"/>
      <x:c r="L73" s="120"/>
      <x:c r="M73" s="120"/>
      <x:c r="N73" s="120"/>
      <x:c r="O73" s="120"/>
      <x:c r="P73" s="120"/>
      <x:c r="Q73" s="120"/>
      <x:c r="R73" s="120"/>
      <x:c r="S73" s="120"/>
      <x:c r="T73" s="120"/>
      <x:c r="U73" s="120"/>
      <x:c r="V73" s="120"/>
      <x:c r="W73" s="120"/>
      <x:c r="X73" s="120"/>
      <x:c r="Y73" s="120"/>
      <x:c r="Z73" s="120"/>
      <x:c r="AA73" s="120"/>
      <x:c r="AB73" s="107"/>
      <x:c r="AC73" s="107"/>
    </x:row>
    <x:row r="74" ht="19.5" hidden="0" customHeight="1">
      <x:c r="A74" s="108" t="s">
        <x:v>319</x:v>
      </x:c>
      <x:c r="B74" s="108"/>
      <x:c r="C74" s="108"/>
      <x:c r="D74" s="108"/>
      <x:c r="E74" s="108"/>
      <x:c r="F74" s="108"/>
      <x:c r="G74" s="108"/>
      <x:c r="H74" s="108"/>
      <x:c r="I74" s="108"/>
      <x:c r="J74" s="108"/>
      <x:c r="K74" s="108"/>
      <x:c r="L74" s="108"/>
      <x:c r="M74" s="108"/>
      <x:c r="N74" s="108"/>
      <x:c r="O74" s="108"/>
      <x:c r="P74" s="108"/>
      <x:c r="Q74" s="108"/>
      <x:c r="R74" s="108"/>
      <x:c r="S74" s="108"/>
      <x:c r="T74" s="108"/>
      <x:c r="U74" s="108"/>
      <x:c r="V74" s="108"/>
      <x:c r="W74" s="108"/>
      <x:c r="X74" s="108"/>
      <x:c r="Y74" s="108"/>
      <x:c r="Z74" s="108"/>
      <x:c r="AA74" s="108"/>
      <x:c r="AB74" s="108"/>
      <x:c r="AC74" s="108"/>
    </x:row>
    <x:row r="75" ht="18" hidden="0" customHeight="1">
      <x:c r="A75" s="110" t="s">
        <x:v>191</x:v>
      </x:c>
      <x:c r="B75" s="114" t="n">
        <x:f aca="0">'P&amp;L'!B7*$D$6</x:f>
        <x:v>0</x:v>
      </x:c>
      <x:c r="C75" s="114" t="n">
        <x:f aca="0">'P&amp;L'!C7*$D$6</x:f>
        <x:v>0</x:v>
      </x:c>
      <x:c r="D75" s="114" t="n">
        <x:f aca="0">'P&amp;L'!D7*$D$6</x:f>
        <x:v>0</x:v>
      </x:c>
      <x:c r="E75" s="114" t="n">
        <x:f aca="0">'P&amp;L'!E7*$D$6</x:f>
        <x:v>167310</x:v>
      </x:c>
      <x:c r="F75" s="114" t="n">
        <x:f aca="0">'P&amp;L'!F7*$D$6</x:f>
        <x:v>501093.44999999995</x:v>
      </x:c>
      <x:c r="G75" s="114" t="n">
        <x:f aca="0">'P&amp;L'!G7*$D$6</x:f>
        <x:v>1001045.0092500001</x:v>
      </x:c>
      <x:c r="H75" s="114" t="n">
        <x:f aca="0">'P&amp;L'!H7*$D$6</x:f>
        <x:v>1667392.7840212502</x:v>
      </x:c>
      <x:c r="I75" s="114" t="n">
        <x:f aca="0">'P&amp;L'!I7*$D$6</x:f>
        <x:v>2500902.189853031</x:v>
      </x:c>
      <x:c r="J75" s="114" t="n">
        <x:f aca="0">'P&amp;L'!J7*$D$6</x:f>
        <x:v>3502881.461105987</x:v>
      </x:c>
      <x:c r="K75" s="114" t="n">
        <x:f aca="0">'P&amp;L'!K7*$D$6</x:f>
        <x:v>4675188.835756661</x:v>
      </x:c>
      <x:c r="L75" s="114" t="n">
        <x:f aca="0">'P&amp;L'!L7*$D$6</x:f>
        <x:v>6020241.448591057</x:v>
      </x:c>
      <x:c r="M75" s="114" t="n">
        <x:f aca="0">'P&amp;L'!M7*$D$6</x:f>
        <x:v>7541025.971314157</x:v>
      </x:c>
      <x:c r="N75" s="114" t="n">
        <x:f aca="0">'P&amp;L'!N7*$D$6</x:f>
        <x:v>9241111.043604549</x:v>
      </x:c>
      <x:c r="O75" s="114" t="n">
        <x:f aca="0">'P&amp;L'!O7*$D$6</x:f>
        <x:v>11124661.544826169</x:v>
      </x:c>
      <x:c r="P75" s="114" t="n">
        <x:f aca="0">'P&amp;L'!P7*$D$6</x:f>
        <x:v>13196454.761980778</x:v>
      </x:c>
      <x:c r="Q75" s="114" t="n">
        <x:f aca="0">'P&amp;L'!Q7*$D$6</x:f>
        <x:v>15450782.363951696</x:v>
      </x:c>
      <x:c r="R75" s="114" t="n">
        <x:f aca="0">'P&amp;L'!R7*$D$6</x:f>
        <x:v>17882364.381815244</x:v>
      </x:c>
      <x:c r="S75" s="114" t="n">
        <x:f aca="0">'P&amp;L'!S7*$D$6</x:f>
        <x:v>20486330.609114226</x:v>
      </x:c>
      <x:c r="T75" s="114" t="n">
        <x:f aca="0">'P&amp;L'!T7*$D$6</x:f>
        <x:v>23258203.01390619</x:v>
      </x:c>
      <x:c r="U75" s="114" t="n">
        <x:f aca="0">'P&amp;L'!U7*$D$6</x:f>
        <x:v>26193879.11387245</x:v>
      </x:c>
      <x:c r="V75" s="114" t="n">
        <x:f aca="0">'P&amp;L'!V7*$D$6</x:f>
        <x:v>29289616.268259156</x:v>
      </x:c>
      <x:c r="W75" s="114" t="n">
        <x:f aca="0">'P&amp;L'!W7*$D$6</x:f>
        <x:v>32542016.842783473</x:v>
      </x:c>
      <x:c r="X75" s="114" t="n">
        <x:f aca="0">'P&amp;L'!X7*$D$6</x:f>
        <x:v>35948014.20588336</x:v>
      </x:c>
      <x:c r="Y75" s="114" t="n">
        <x:f aca="0">'P&amp;L'!Y7*$D$6</x:f>
        <x:v>39504859.51682354</x:v>
      </x:c>
      <x:c r="Z75" s="114" t="n">
        <x:f aca="0">SUM(B75:M75)</x:f>
        <x:v>27577081.149892148</x:v>
      </x:c>
      <x:c r="AA75" s="114" t="n">
        <x:f aca="0">SUM(N75:Y75)</x:f>
        <x:v>274118293.6668208</x:v>
      </x:c>
      <x:c r="AB75" s="107"/>
      <x:c r="AC75" s="107"/>
    </x:row>
    <x:row r="76" ht="18" hidden="0" customHeight="1">
      <x:c r="A76" s="110" t="s">
        <x:v>192</x:v>
      </x:c>
      <x:c r="B76" s="114" t="n">
        <x:f aca="0">'P&amp;L'!B8*$D$7</x:f>
        <x:v>418693.275</x:v>
      </x:c>
      <x:c r="C76" s="114" t="n">
        <x:f aca="0">'P&amp;L'!C8*$D$7</x:f>
        <x:v>854134.2810000001</x:v>
      </x:c>
      <x:c r="D76" s="114" t="n">
        <x:f aca="0">'P&amp;L'!D8*$D$7</x:f>
        <x:v>1307495.3591700003</x:v>
      </x:c>
      <x:c r="E76" s="114" t="n">
        <x:f aca="0">'P&amp;L'!E8*$D$7</x:f>
        <x:v>1906544.0291040004</x:v>
      </x:c>
      <x:c r="F76" s="114" t="n">
        <x:f aca="0">'P&amp;L'!F8*$D$7</x:f>
        <x:v>2651325.418391364</x:v>
      </x:c>
      <x:c r="G76" s="114" t="n">
        <x:f aca="0">'P&amp;L'!G8*$D$7</x:f>
        <x:v>3542377.6053038975</x:v>
      </x:c>
      <x:c r="H76" s="114" t="n">
        <x:f aca="0">'P&amp;L'!H8*$D$7</x:f>
        <x:v>4580735.574952815</x:v>
      </x:c>
      <x:c r="I76" s="114" t="n">
        <x:f aca="0">'P&amp;L'!I8*$D$7</x:f>
        <x:v>5767936.716033975</x:v>
      </x:c>
      <x:c r="J76" s="114" t="n">
        <x:f aca="0">'P&amp;L'!J8*$D$7</x:f>
        <x:v>7106027.88499225</x:v>
      </x:c>
      <x:c r="K76" s="114" t="n">
        <x:f aca="0">'P&amp;L'!K8*$D$7</x:f>
        <x:v>8597574.06933483</x:v>
      </x:c>
      <x:c r="L76" s="114" t="n">
        <x:f aca="0">'P&amp;L'!L8*$D$7</x:f>
        <x:v>10245668.686851492</x:v>
      </x:c>
      <x:c r="M76" s="114" t="n">
        <x:f aca="0">'P&amp;L'!M8*$D$7</x:f>
        <x:v>12053945.562673496</x:v>
      </x:c>
      <x:c r="N76" s="114" t="n">
        <x:f aca="0">'P&amp;L'!N8*$D$7</x:f>
        <x:v>13998774.462026903</x:v>
      </x:c>
      <x:c r="O76" s="114" t="n">
        <x:f aca="0">'P&amp;L'!O8*$D$7</x:f>
        <x:v>16083104.728094399</x:v>
      </x:c>
      <x:c r="P76" s="114" t="n">
        <x:f aca="0">'P&amp;L'!P8*$D$7</x:f>
        <x:v>18310349.514647063</x:v>
      </x:c>
      <x:c r="Q76" s="114" t="n">
        <x:f aca="0">'P&amp;L'!Q8*$D$7</x:f>
        <x:v>20675990.885324154</x:v>
      </x:c>
      <x:c r="R76" s="114" t="n">
        <x:f aca="0">'P&amp;L'!R8*$D$7</x:f>
        <x:v>23175873.5050482</x:v>
      </x:c>
      <x:c r="S76" s="114" t="n">
        <x:f aca="0">'P&amp;L'!S8*$D$7</x:f>
        <x:v>25806188.507377956</x:v>
      </x:c>
      <x:c r="T76" s="114" t="n">
        <x:f aca="0">'P&amp;L'!T8*$D$7</x:f>
        <x:v>28563458.2468331</x:v>
      </x:c>
      <x:c r="U76" s="114" t="n">
        <x:f aca="0">'P&amp;L'!U8*$D$7</x:f>
        <x:v>31444521.89333235</x:v>
      </x:c>
      <x:c r="V76" s="114" t="n">
        <x:f aca="0">'P&amp;L'!V8*$D$7</x:f>
        <x:v>34446521.82807601</x:v>
      </x:c>
      <x:c r="W76" s="114" t="n">
        <x:f aca="0">'P&amp;L'!W8*$D$7</x:f>
        <x:v>37566890.80228412</x:v>
      </x:c>
      <x:c r="X76" s="114" t="n">
        <x:f aca="0">'P&amp;L'!X8*$D$7</x:f>
        <x:v>40803339.82217916</x:v>
      </x:c>
      <x:c r="Y76" s="114" t="n">
        <x:f aca="0">'P&amp;L'!Y8*$D$7</x:f>
        <x:v>44153846.7254816</x:v>
      </x:c>
      <x:c r="Z76" s="114" t="n">
        <x:f aca="0">SUM(B76:M76)</x:f>
        <x:v>59032458.46280812</x:v>
      </x:c>
      <x:c r="AA76" s="114" t="n">
        <x:f aca="0">SUM(N76:Y76)</x:f>
        <x:v>335028860.92070496</x:v>
      </x:c>
      <x:c r="AB76" s="107"/>
      <x:c r="AC76" s="107"/>
    </x:row>
    <x:row r="77" ht="18" hidden="0" customHeight="1">
      <x:c r="A77" s="115" t="s">
        <x:v>193</x:v>
      </x:c>
      <x:c r="B77" s="116" t="n">
        <x:f aca="0">SUM(B75:B76)</x:f>
        <x:v>418693.275</x:v>
      </x:c>
      <x:c r="C77" s="116" t="n">
        <x:f aca="0">SUM(C75:C76)</x:f>
        <x:v>854134.2810000001</x:v>
      </x:c>
      <x:c r="D77" s="116" t="n">
        <x:f aca="0">SUM(D75:D76)</x:f>
        <x:v>1307495.3591700003</x:v>
      </x:c>
      <x:c r="E77" s="116" t="n">
        <x:f aca="0">SUM(E75:E76)</x:f>
        <x:v>2073854.0291040004</x:v>
      </x:c>
      <x:c r="F77" s="116" t="n">
        <x:f aca="0">SUM(F75:F76)</x:f>
        <x:v>3152418.868391364</x:v>
      </x:c>
      <x:c r="G77" s="116" t="n">
        <x:f aca="0">SUM(G75:G76)</x:f>
        <x:v>4543422.614553898</x:v>
      </x:c>
      <x:c r="H77" s="116" t="n">
        <x:f aca="0">SUM(H75:H76)</x:f>
        <x:v>6248128.358974065</x:v>
      </x:c>
      <x:c r="I77" s="116" t="n">
        <x:f aca="0">SUM(I75:I76)</x:f>
        <x:v>8268838.905887006</x:v>
      </x:c>
      <x:c r="J77" s="116" t="n">
        <x:f aca="0">SUM(J75:J76)</x:f>
        <x:v>10608909.346098237</x:v>
      </x:c>
      <x:c r="K77" s="116" t="n">
        <x:f aca="0">SUM(K75:K76)</x:f>
        <x:v>13272762.90509149</x:v>
      </x:c>
      <x:c r="L77" s="116" t="n">
        <x:f aca="0">SUM(L75:L76)</x:f>
        <x:v>16265910.13544255</x:v>
      </x:c>
      <x:c r="M77" s="116" t="n">
        <x:f aca="0">SUM(M75:M76)</x:f>
        <x:v>19594971.533987653</x:v>
      </x:c>
      <x:c r="N77" s="116" t="n">
        <x:f aca="0">SUM(N75:N76)</x:f>
        <x:v>23239885.505631454</x:v>
      </x:c>
      <x:c r="O77" s="116" t="n">
        <x:f aca="0">SUM(O75:O76)</x:f>
        <x:v>27207766.272920568</x:v>
      </x:c>
      <x:c r="P77" s="116" t="n">
        <x:f aca="0">SUM(P75:P76)</x:f>
        <x:v>31506804.27662784</x:v>
      </x:c>
      <x:c r="Q77" s="116" t="n">
        <x:f aca="0">SUM(Q75:Q76)</x:f>
        <x:v>36126773.24927585</x:v>
      </x:c>
      <x:c r="R77" s="116" t="n">
        <x:f aca="0">SUM(R75:R76)</x:f>
        <x:v>41058237.88686344</x:v>
      </x:c>
      <x:c r="S77" s="116" t="n">
        <x:f aca="0">SUM(S75:S76)</x:f>
        <x:v>46292519.11649218</x:v>
      </x:c>
      <x:c r="T77" s="116" t="n">
        <x:f aca="0">SUM(T75:T76)</x:f>
        <x:v>51821661.26073929</x:v>
      </x:c>
      <x:c r="U77" s="116" t="n">
        <x:f aca="0">SUM(U75:U76)</x:f>
        <x:v>57638401.0072048</x:v>
      </x:c>
      <x:c r="V77" s="116" t="n">
        <x:f aca="0">SUM(V75:V76)</x:f>
        <x:v>63736138.09633517</x:v>
      </x:c>
      <x:c r="W77" s="116" t="n">
        <x:f aca="0">SUM(W75:W76)</x:f>
        <x:v>70108907.6450676</x:v>
      </x:c>
      <x:c r="X77" s="116" t="n">
        <x:f aca="0">SUM(X75:X76)</x:f>
        <x:v>76751354.02806252</x:v>
      </x:c>
      <x:c r="Y77" s="116" t="n">
        <x:f aca="0">SUM(Y75:Y76)</x:f>
        <x:v>83658706.24230513</x:v>
      </x:c>
      <x:c r="Z77" s="116" t="n">
        <x:f aca="0">SUM(B77:M77)</x:f>
        <x:v>86609539.61270025</x:v>
      </x:c>
      <x:c r="AA77" s="116" t="n">
        <x:f aca="0">SUM(N77:Y77)</x:f>
        <x:v>609147154.5875258</x:v>
      </x:c>
      <x:c r="AB77" s="107"/>
      <x:c r="AC77" s="107"/>
    </x:row>
    <x:row r="78" ht="18" hidden="0" customHeight="1">
      <x:c r="A78" s="110" t="s">
        <x:v>208</x:v>
      </x:c>
      <x:c r="B78" s="114" t="n">
        <x:f aca="0">Costs!B15*$D$8</x:f>
        <x:v>1800000</x:v>
      </x:c>
      <x:c r="C78" s="114" t="n">
        <x:f aca="0">Costs!C15*$D$8</x:f>
        <x:v>1800000</x:v>
      </x:c>
      <x:c r="D78" s="114" t="n">
        <x:f aca="0">Costs!D15*$D$8</x:f>
        <x:v>1800000</x:v>
      </x:c>
      <x:c r="E78" s="114" t="n">
        <x:f aca="0">Costs!E15*$D$8</x:f>
        <x:v>1800000</x:v>
      </x:c>
      <x:c r="F78" s="114" t="n">
        <x:f aca="0">Costs!F15*$D$8</x:f>
        <x:v>1800000</x:v>
      </x:c>
      <x:c r="G78" s="114" t="n">
        <x:f aca="0">Costs!G15*$D$8</x:f>
        <x:v>1800000</x:v>
      </x:c>
      <x:c r="H78" s="114" t="n">
        <x:f aca="0">Costs!H15*$D$8</x:f>
        <x:v>2340000</x:v>
      </x:c>
      <x:c r="I78" s="114" t="n">
        <x:f aca="0">Costs!I15*$D$8</x:f>
        <x:v>2340000</x:v>
      </x:c>
      <x:c r="J78" s="114" t="n">
        <x:f aca="0">Costs!J15*$D$8</x:f>
        <x:v>2340000</x:v>
      </x:c>
      <x:c r="K78" s="114" t="n">
        <x:f aca="0">Costs!K15*$D$8</x:f>
        <x:v>2340000</x:v>
      </x:c>
      <x:c r="L78" s="114" t="n">
        <x:f aca="0">Costs!L15*$D$8</x:f>
        <x:v>2340000</x:v>
      </x:c>
      <x:c r="M78" s="114" t="n">
        <x:f aca="0">Costs!M15*$D$8</x:f>
        <x:v>2340000</x:v>
      </x:c>
      <x:c r="N78" s="114" t="n">
        <x:f aca="0">Costs!N15*$D$8</x:f>
        <x:v>2880000</x:v>
      </x:c>
      <x:c r="O78" s="114" t="n">
        <x:f aca="0">Costs!O15*$D$8</x:f>
        <x:v>2880000</x:v>
      </x:c>
      <x:c r="P78" s="114" t="n">
        <x:f aca="0">Costs!P15*$D$8</x:f>
        <x:v>2880000</x:v>
      </x:c>
      <x:c r="Q78" s="114" t="n">
        <x:f aca="0">Costs!Q15*$D$8</x:f>
        <x:v>2880000</x:v>
      </x:c>
      <x:c r="R78" s="114" t="n">
        <x:f aca="0">Costs!R15*$D$8</x:f>
        <x:v>2880000</x:v>
      </x:c>
      <x:c r="S78" s="114" t="n">
        <x:f aca="0">Costs!S15*$D$8</x:f>
        <x:v>2880000</x:v>
      </x:c>
      <x:c r="T78" s="114" t="n">
        <x:f aca="0">Costs!T15*$D$8</x:f>
        <x:v>2880000</x:v>
      </x:c>
      <x:c r="U78" s="114" t="n">
        <x:f aca="0">Costs!U15*$D$8</x:f>
        <x:v>2880000</x:v>
      </x:c>
      <x:c r="V78" s="114" t="n">
        <x:f aca="0">Costs!V15*$D$8</x:f>
        <x:v>2880000</x:v>
      </x:c>
      <x:c r="W78" s="114" t="n">
        <x:f aca="0">Costs!W15*$D$8</x:f>
        <x:v>2880000</x:v>
      </x:c>
      <x:c r="X78" s="114" t="n">
        <x:f aca="0">Costs!X15*$D$8</x:f>
        <x:v>2880000</x:v>
      </x:c>
      <x:c r="Y78" s="114" t="n">
        <x:f aca="0">Costs!Y15*$D$8</x:f>
        <x:v>2880000</x:v>
      </x:c>
      <x:c r="Z78" s="114" t="n">
        <x:f aca="0">SUM(B78:M78)</x:f>
        <x:v>24840000</x:v>
      </x:c>
      <x:c r="AA78" s="114" t="n">
        <x:f aca="0">SUM(N78:Y78)</x:f>
        <x:v>34560000</x:v>
      </x:c>
      <x:c r="AB78" s="107"/>
      <x:c r="AC78" s="107"/>
    </x:row>
    <x:row r="79" ht="18" hidden="0" customHeight="1">
      <x:c r="A79" s="110" t="s">
        <x:v>211</x:v>
      </x:c>
      <x:c r="B79" s="114" t="n">
        <x:f aca="0">Costs!B18*$D$9</x:f>
        <x:v>889460.6910882177</x:v>
      </x:c>
      <x:c r="C79" s="114" t="n">
        <x:f aca="0">Costs!C18*$D$9</x:f>
        <x:v>961684.8992045806</x:v>
      </x:c>
      <x:c r="D79" s="114" t="n">
        <x:f aca="0">Costs!D18*$D$9</x:f>
        <x:v>1039773.7130199928</x:v>
      </x:c>
      <x:c r="E79" s="114" t="n">
        <x:f aca="0">Costs!E18*$D$9</x:f>
        <x:v>1124203.3385172165</x:v>
      </x:c>
      <x:c r="F79" s="114" t="n">
        <x:f aca="0">Costs!F18*$D$9</x:f>
        <x:v>1215488.6496048141</x:v>
      </x:c>
      <x:c r="G79" s="114" t="n">
        <x:f aca="0">Costs!G18*$D$9</x:f>
        <x:v>1314186.3279527249</x:v>
      </x:c>
      <x:c r="H79" s="114" t="n">
        <x:f aca="0">Costs!H18*$D$9</x:f>
        <x:v>1420898.2577824863</x:v>
      </x:c>
      <x:c r="I79" s="114" t="n">
        <x:f aca="0">Costs!I18*$D$9</x:f>
        <x:v>1536275.196314424</x:v>
      </x:c>
      <x:c r="J79" s="114" t="n">
        <x:f aca="0">Costs!J18*$D$9</x:f>
        <x:v>1661020.7422551557</x:v>
      </x:c>
      <x:c r="K79" s="114" t="n">
        <x:f aca="0">Costs!K18*$D$9</x:f>
        <x:v>1795895.6265262743</x:v>
      </x:c>
      <x:c r="L79" s="114" t="n">
        <x:f aca="0">Costs!L18*$D$9</x:f>
        <x:v>1941722.3514002077</x:v>
      </x:c>
      <x:c r="M79" s="114" t="n">
        <x:f aca="0">Costs!M18*$D$9</x:f>
        <x:v>2099390.2063339055</x:v>
      </x:c>
      <x:c r="N79" s="114" t="n">
        <x:f aca="0">Costs!N18*$D$9</x:f>
        <x:v>2833333.3333333335</x:v>
      </x:c>
      <x:c r="O79" s="114" t="n">
        <x:f aca="0">Costs!O18*$D$9</x:f>
        <x:v>2833333.3333333335</x:v>
      </x:c>
      <x:c r="P79" s="114" t="n">
        <x:f aca="0">Costs!P18*$D$9</x:f>
        <x:v>2833333.3333333335</x:v>
      </x:c>
      <x:c r="Q79" s="114" t="n">
        <x:f aca="0">Costs!Q18*$D$9</x:f>
        <x:v>2833333.3333333335</x:v>
      </x:c>
      <x:c r="R79" s="114" t="n">
        <x:f aca="0">Costs!R18*$D$9</x:f>
        <x:v>2833333.3333333335</x:v>
      </x:c>
      <x:c r="S79" s="114" t="n">
        <x:f aca="0">Costs!S18*$D$9</x:f>
        <x:v>2833333.3333333335</x:v>
      </x:c>
      <x:c r="T79" s="114" t="n">
        <x:f aca="0">Costs!T18*$D$9</x:f>
        <x:v>2833333.3333333335</x:v>
      </x:c>
      <x:c r="U79" s="114" t="n">
        <x:f aca="0">Costs!U18*$D$9</x:f>
        <x:v>2833333.3333333335</x:v>
      </x:c>
      <x:c r="V79" s="114" t="n">
        <x:f aca="0">Costs!V18*$D$9</x:f>
        <x:v>2833333.3333333335</x:v>
      </x:c>
      <x:c r="W79" s="114" t="n">
        <x:f aca="0">Costs!W18*$D$9</x:f>
        <x:v>2833333.3333333335</x:v>
      </x:c>
      <x:c r="X79" s="114" t="n">
        <x:f aca="0">Costs!X18*$D$9</x:f>
        <x:v>2833333.3333333335</x:v>
      </x:c>
      <x:c r="Y79" s="114" t="n">
        <x:f aca="0">Costs!Y18*$D$9</x:f>
        <x:v>2833333.3333333335</x:v>
      </x:c>
      <x:c r="Z79" s="114" t="n">
        <x:f aca="0">SUM(B79:M79)</x:f>
        <x:v>17000000</x:v>
      </x:c>
      <x:c r="AA79" s="114" t="n">
        <x:f aca="0">SUM(N79:Y79)</x:f>
        <x:v>33999999.99999999</x:v>
      </x:c>
      <x:c r="AB79" s="107"/>
      <x:c r="AC79" s="107"/>
    </x:row>
    <x:row r="80" ht="18" hidden="0" customHeight="1">
      <x:c r="A80" s="110" t="s">
        <x:v>233</x:v>
      </x:c>
      <x:c r="B80" s="114" t="n">
        <x:f aca="0">Costs!B21*$D$10</x:f>
        <x:v>297705.7248867821</x:v>
      </x:c>
      <x:c r="C80" s="114" t="n">
        <x:f aca="0">Costs!C21*$D$10</x:f>
        <x:v>339739.66027582856</x:v>
      </x:c>
      <x:c r="D80" s="114" t="n">
        <x:f aca="0">Costs!D21*$D$10</x:f>
        <x:v>381311.1131865507</x:v>
      </x:c>
      <x:c r="E80" s="114" t="n">
        <x:f aca="0">Costs!E21*$D$10</x:f>
        <x:v>422622.4357208823</x:v>
      </x:c>
      <x:c r="F80" s="114" t="n">
        <x:f aca="0">Costs!F21*$D$10</x:f>
        <x:v>463870.1460446978</x:v>
      </x:c>
      <x:c r="G80" s="114" t="n">
        <x:f aca="0">Costs!G21*$D$10</x:f>
        <x:v>505245.9947055284</x:v>
      </x:c>
      <x:c r="H80" s="114" t="n">
        <x:f aca="0">Costs!H21*$D$10</x:f>
        <x:v>546937.9827035867</x:v>
      </x:c>
      <x:c r="I80" s="114" t="n">
        <x:f aca="0">Costs!I21*$D$10</x:f>
        <x:v>589131.3373452285</x:v>
      </x:c>
      <x:c r="J80" s="114" t="n">
        <x:f aca="0">Costs!J21*$D$10</x:f>
        <x:v>632009.4515585251</x:v>
      </x:c>
      <x:c r="K80" s="114" t="n">
        <x:f aca="0">Costs!K21*$D$10</x:f>
        <x:v>675754.7920369476</x:v>
      </x:c>
      <x:c r="L80" s="114" t="n">
        <x:f aca="0">Costs!L21*$D$10</x:f>
        <x:v>720549.7812969105</x:v>
      </x:c>
      <x:c r="M80" s="114" t="n">
        <x:f aca="0">Costs!M21*$D$10</x:f>
        <x:v>766577.6584858983</x:v>
      </x:c>
      <x:c r="N80" s="114" t="n">
        <x:f aca="0">Costs!N21*$D$10</x:f>
        <x:v>811185.9359986719</x:v>
      </x:c>
      <x:c r="O80" s="114" t="n">
        <x:f aca="0">Costs!O21*$D$10</x:f>
        <x:v>854535.7058714723</x:v>
      </x:c>
      <x:c r="P80" s="114" t="n">
        <x:f aca="0">Costs!P21*$D$10</x:f>
        <x:v>896776.8129642102</x:v>
      </x:c>
      <x:c r="Q80" s="114" t="n">
        <x:f aca="0">Costs!Q21*$D$10</x:f>
        <x:v>938048.7731349873</x:v>
      </x:c>
      <x:c r="R80" s="114" t="n">
        <x:f aca="0">Costs!R21*$D$10</x:f>
        <x:v>978481.6195508777</x:v>
      </x:c>
      <x:c r="S80" s="114" t="n">
        <x:f aca="0">Costs!S21*$D$10</x:f>
        <x:v>1018196.6828673126</x:v>
      </x:c>
      <x:c r="T80" s="114" t="n">
        <x:f aca="0">Costs!T21*$D$10</x:f>
        <x:v>1057307.3105522362</x:v>
      </x:c>
      <x:c r="U80" s="114" t="n">
        <x:f aca="0">Costs!U21*$D$10</x:f>
        <x:v>1095919.5302114252</x:v>
      </x:c>
      <x:c r="V80" s="114" t="n">
        <x:f aca="0">Costs!V21*$D$10</x:f>
        <x:v>1134132.6613851045</x:v>
      </x:c>
      <x:c r="W80" s="114" t="n">
        <x:f aca="0">Costs!W21*$D$10</x:f>
        <x:v>1172039.8799305635</x:v>
      </x:c>
      <x:c r="X80" s="114" t="n">
        <x:f aca="0">Costs!X21*$D$10</x:f>
        <x:v>1209728.7387784065</x:v>
      </x:c>
      <x:c r="Y80" s="114" t="n">
        <x:f aca="0">Costs!Y21*$D$10</x:f>
        <x:v>1247281.6485491123</x:v>
      </x:c>
      <x:c r="Z80" s="114" t="n">
        <x:f aca="0">SUM(B80:M80)</x:f>
        <x:v>6341456.0782473665</x:v>
      </x:c>
      <x:c r="AA80" s="114" t="n">
        <x:f aca="0">SUM(N80:Y80)</x:f>
        <x:v>12413635.29979438</x:v>
      </x:c>
      <x:c r="AB80" s="107"/>
      <x:c r="AC80" s="107"/>
    </x:row>
    <x:row r="81" ht="18" hidden="0" customHeight="1">
      <x:c r="A81" s="115" t="s">
        <x:v>313</x:v>
      </x:c>
      <x:c r="B81" s="116" t="n">
        <x:f aca="0">SUM(B78:B80)+Costs!B24+Costs!B25</x:f>
        <x:v>3152239.02475857</x:v>
      </x:c>
      <x:c r="C81" s="116" t="n">
        <x:f aca="0">SUM(C78:C80)+Costs!C24+Costs!C25</x:f>
        <x:v>3281332.674871878</x:v>
      </x:c>
      <x:c r="D81" s="116" t="n">
        <x:f aca="0">SUM(D78:D80)+Costs!D24+Costs!D25</x:f>
        <x:v>3415665.219095914</x:v>
      </x:c>
      <x:c r="E81" s="116" t="n">
        <x:f aca="0">SUM(E78:E80)+Costs!E24+Costs!E25</x:f>
        <x:v>3555986.6339042927</x:v>
      </x:c>
      <x:c r="F81" s="116" t="n">
        <x:f aca="0">SUM(F78:F80)+Costs!F24+Costs!F25</x:f>
        <x:v>3703077.670724111</x:v>
      </x:c>
      <x:c r="G81" s="116" t="n">
        <x:f aca="0">SUM(G78:G80)+Costs!G24+Costs!G25</x:f>
        <x:v>3857754.4384366754</x:v>
      </x:c>
      <x:c r="H81" s="116" t="n">
        <x:f aca="0">SUM(H78:H80)+Costs!H24+Costs!H25</x:f>
        <x:v>4560873.175557927</x:v>
      </x:c>
      <x:c r="I81" s="116" t="n">
        <x:f aca="0">SUM(I78:I80)+Costs!I24+Costs!I25</x:f>
        <x:v>4733335.240957969</x:v>
      </x:c>
      <x:c r="J81" s="116" t="n">
        <x:f aca="0">SUM(J78:J80)+Costs!J24+Costs!J25</x:f>
        <x:v>4916092.353187278</x:v>
      </x:c>
      <x:c r="K81" s="116" t="n">
        <x:f aca="0">SUM(K78:K80)+Costs!K24+Costs!K25</x:f>
        <x:v>5110152.10987038</x:v>
      </x:c>
      <x:c r="L81" s="116" t="n">
        <x:f aca="0">SUM(L78:L80)+Costs!L24+Costs!L25</x:f>
        <x:v>5316583.8202136755</x:v>
      </x:c>
      <x:c r="M81" s="116" t="n">
        <x:f aca="0">SUM(M78:M80)+Costs!M24+Costs!M25</x:f>
        <x:v>5536524.685461886</x:v>
      </x:c>
      <x:c r="N81" s="116" t="n">
        <x:f aca="0">SUM(N78:N80)+Costs!N24+Costs!N25</x:f>
        <x:v>6905450.2797785485</x:v>
      </x:c>
      <x:c r="O81" s="116" t="n">
        <x:f aca="0">SUM(O78:O80)+Costs!O24+Costs!O25</x:f>
        <x:v>6965629.960307849</x:v>
      </x:c>
      <x:c r="P81" s="116" t="n">
        <x:f aca="0">SUM(P78:P80)+Costs!P24+Costs!P25</x:f>
        <x:v>7024270.556036591</x:v>
      </x:c>
      <x:c r="Q81" s="116" t="n">
        <x:f aca="0">SUM(Q78:Q80)+Costs!Q24+Costs!Q25</x:f>
        <x:v>7081565.747803082</x:v>
      </x:c>
      <x:c r="R81" s="116" t="n">
        <x:f aca="0">SUM(R78:R80)+Costs!R24+Costs!R25</x:f>
        <x:v>7137696.052239259</x:v>
      </x:c>
      <x:c r="S81" s="116" t="n">
        <x:f aca="0">SUM(S78:S80)+Costs!S24+Costs!S25</x:f>
        <x:v>7192829.90484325</x:v>
      </x:c>
      <x:c r="T81" s="116" t="n">
        <x:f aca="0">SUM(T78:T80)+Costs!T24+Costs!T25</x:f>
        <x:v>7247124.658570556</x:v>
      </x:c>
      <x:c r="U81" s="116" t="n">
        <x:f aca="0">SUM(U78:U80)+Costs!U24+Costs!U25</x:f>
        <x:v>7300727.5046856655</x:v>
      </x:c>
      <x:c r="V81" s="116" t="n">
        <x:f aca="0">SUM(V78:V80)+Costs!V24+Costs!V25</x:f>
        <x:v>7353776.322079714</x:v>
      </x:c>
      <x:c r="W81" s="116" t="n">
        <x:f aca="0">SUM(W78:W80)+Costs!W24+Costs!W25</x:f>
        <x:v>7406400.460766352</x:v>
      </x:c>
      <x:c r="X81" s="116" t="n">
        <x:f aca="0">SUM(X78:X80)+Costs!X24+Costs!X25</x:f>
        <x:v>7458721.464813946</x:v>
      </x:c>
      <x:c r="Y81" s="116" t="n">
        <x:f aca="0">SUM(Y78:Y80)+Costs!Y24+Costs!Y25</x:f>
        <x:v>7510853.739554455</x:v>
      </x:c>
      <x:c r="Z81" s="116" t="n">
        <x:f aca="0">SUM(B81:M81)</x:f>
        <x:v>51139617.04704056</x:v>
      </x:c>
      <x:c r="AA81" s="116" t="n">
        <x:f aca="0">SUM(N81:Y81)</x:f>
        <x:v>86585046.65147926</x:v>
      </x:c>
      <x:c r="AB81" s="107"/>
      <x:c r="AC81" s="107"/>
    </x:row>
    <x:row r="82" ht="18" hidden="0" customHeight="1">
      <x:c r="A82" s="115" t="s">
        <x:v>236</x:v>
      </x:c>
      <x:c r="B82" s="116" t="n">
        <x:f aca="0">B77-B81</x:f>
        <x:v>-2733545.74975857</x:v>
      </x:c>
      <x:c r="C82" s="116" t="n">
        <x:f aca="0">C77-C81</x:f>
        <x:v>-2427198.3938718783</x:v>
      </x:c>
      <x:c r="D82" s="116" t="n">
        <x:f aca="0">D77-D81</x:f>
        <x:v>-2108169.8599259136</x:v>
      </x:c>
      <x:c r="E82" s="116" t="n">
        <x:f aca="0">E77-E81</x:f>
        <x:v>-1482132.6048002923</x:v>
      </x:c>
      <x:c r="F82" s="116" t="n">
        <x:f aca="0">F77-F81</x:f>
        <x:v>-550658.8023327473</x:v>
      </x:c>
      <x:c r="G82" s="116" t="n">
        <x:f aca="0">G77-G81</x:f>
        <x:v>685668.1761172223</x:v>
      </x:c>
      <x:c r="H82" s="116" t="n">
        <x:f aca="0">H77-H81</x:f>
        <x:v>1687255.1834161375</x:v>
      </x:c>
      <x:c r="I82" s="116" t="n">
        <x:f aca="0">I77-I81</x:f>
        <x:v>3535503.664929037</x:v>
      </x:c>
      <x:c r="J82" s="116" t="n">
        <x:f aca="0">J77-J81</x:f>
        <x:v>5692816.992910959</x:v>
      </x:c>
      <x:c r="K82" s="116" t="n">
        <x:f aca="0">K77-K81</x:f>
        <x:v>8162610.795221111</x:v>
      </x:c>
      <x:c r="L82" s="116" t="n">
        <x:f aca="0">L77-L81</x:f>
        <x:v>10949326.315228874</x:v>
      </x:c>
      <x:c r="M82" s="116" t="n">
        <x:f aca="0">M77-M81</x:f>
        <x:v>14058446.848525766</x:v>
      </x:c>
      <x:c r="N82" s="116" t="n">
        <x:f aca="0">N77-N81</x:f>
        <x:v>16334435.225852907</x:v>
      </x:c>
      <x:c r="O82" s="116" t="n">
        <x:f aca="0">O77-O81</x:f>
        <x:v>20242136.31261272</x:v>
      </x:c>
      <x:c r="P82" s="116" t="n">
        <x:f aca="0">P77-P81</x:f>
        <x:v>24482533.720591247</x:v>
      </x:c>
      <x:c r="Q82" s="116" t="n">
        <x:f aca="0">Q77-Q81</x:f>
        <x:v>29045207.501472767</x:v>
      </x:c>
      <x:c r="R82" s="116" t="n">
        <x:f aca="0">R77-R81</x:f>
        <x:v>33920541.83462418</x:v>
      </x:c>
      <x:c r="S82" s="116" t="n">
        <x:f aca="0">S77-S81</x:f>
        <x:v>39099689.21164893</x:v>
      </x:c>
      <x:c r="T82" s="116" t="n">
        <x:f aca="0">T77-T81</x:f>
        <x:v>44574536.60216873</x:v>
      </x:c>
      <x:c r="U82" s="116" t="n">
        <x:f aca="0">U77-U81</x:f>
        <x:v>50337673.50251914</x:v>
      </x:c>
      <x:c r="V82" s="116" t="n">
        <x:f aca="0">V77-V81</x:f>
        <x:v>56382361.774255455</x:v>
      </x:c>
      <x:c r="W82" s="116" t="n">
        <x:f aca="0">W77-W81</x:f>
        <x:v>62702507.18430125</x:v>
      </x:c>
      <x:c r="X82" s="116" t="n">
        <x:f aca="0">X77-X81</x:f>
        <x:v>69292632.56324857</x:v>
      </x:c>
      <x:c r="Y82" s="116" t="n">
        <x:f aca="0">Y77-Y81</x:f>
        <x:v>76147852.50275068</x:v>
      </x:c>
      <x:c r="Z82" s="116" t="n">
        <x:f aca="0">SUM(B82:M82)</x:f>
        <x:v>35469922.5656597</x:v>
      </x:c>
      <x:c r="AA82" s="116" t="n">
        <x:f aca="0">SUM(N82:Y82)</x:f>
        <x:v>522562107.9360466</x:v>
      </x:c>
      <x:c r="AB82" s="107"/>
      <x:c r="AC82" s="107"/>
    </x:row>
    <x:row r="83" ht="18" hidden="0" customHeight="1">
      <x:c r="A83" s="110" t="s">
        <x:v>251</x:v>
      </x:c>
      <x:c r="B83" s="114" t="n">
        <x:f aca="0">'P&amp;L'!B22*$D$11</x:f>
        <x:v>283333.3333333331</x:v>
      </x:c>
      <x:c r="C83" s="114" t="n">
        <x:f aca="0">'P&amp;L'!C22*$D$11</x:f>
        <x:v>283333.3333333333</x:v>
      </x:c>
      <x:c r="D83" s="114" t="n">
        <x:f aca="0">'P&amp;L'!D22*$D$11</x:f>
        <x:v>283333.3333333333</x:v>
      </x:c>
      <x:c r="E83" s="114" t="n">
        <x:f aca="0">'P&amp;L'!E22*$D$11</x:f>
        <x:v>283333.3333333333</x:v>
      </x:c>
      <x:c r="F83" s="114" t="n">
        <x:f aca="0">'P&amp;L'!F22*$D$11</x:f>
        <x:v>283333.3333333333</x:v>
      </x:c>
      <x:c r="G83" s="114" t="n">
        <x:f aca="0">'P&amp;L'!G22*$D$11</x:f>
        <x:v>283333.3333333333</x:v>
      </x:c>
      <x:c r="H83" s="114" t="n">
        <x:f aca="0">'P&amp;L'!H22*$D$11</x:f>
        <x:v>283333.3333333333</x:v>
      </x:c>
      <x:c r="I83" s="114" t="n">
        <x:f aca="0">'P&amp;L'!I22*$D$11</x:f>
        <x:v>283333.3333333333</x:v>
      </x:c>
      <x:c r="J83" s="114" t="n">
        <x:f aca="0">'P&amp;L'!J22*$D$11</x:f>
        <x:v>283333.3333333333</x:v>
      </x:c>
      <x:c r="K83" s="114" t="n">
        <x:f aca="0">'P&amp;L'!K22*$D$11</x:f>
        <x:v>283333.3333333333</x:v>
      </x:c>
      <x:c r="L83" s="114" t="n">
        <x:f aca="0">'P&amp;L'!L22*$D$11</x:f>
        <x:v>283333.3333333333</x:v>
      </x:c>
      <x:c r="M83" s="114" t="n">
        <x:f aca="0">'P&amp;L'!M22*$D$11</x:f>
        <x:v>283333.3333333333</x:v>
      </x:c>
      <x:c r="N83" s="114" t="n">
        <x:f aca="0">'P&amp;L'!N22*$D$11</x:f>
        <x:v>283333.3333333333</x:v>
      </x:c>
      <x:c r="O83" s="114" t="n">
        <x:f aca="0">'P&amp;L'!O22*$D$11</x:f>
        <x:v>283333.3333333333</x:v>
      </x:c>
      <x:c r="P83" s="114" t="n">
        <x:f aca="0">'P&amp;L'!P22*$D$11</x:f>
        <x:v>283333.3333333333</x:v>
      </x:c>
      <x:c r="Q83" s="114" t="n">
        <x:f aca="0">'P&amp;L'!Q22*$D$11</x:f>
        <x:v>283333.3333333333</x:v>
      </x:c>
      <x:c r="R83" s="114" t="n">
        <x:f aca="0">'P&amp;L'!R22*$D$11</x:f>
        <x:v>283333.3333333333</x:v>
      </x:c>
      <x:c r="S83" s="114" t="n">
        <x:f aca="0">'P&amp;L'!S22*$D$11</x:f>
        <x:v>283333.3333333333</x:v>
      </x:c>
      <x:c r="T83" s="114" t="n">
        <x:f aca="0">'P&amp;L'!T22*$D$11</x:f>
        <x:v>283333.3333333333</x:v>
      </x:c>
      <x:c r="U83" s="114" t="n">
        <x:f aca="0">'P&amp;L'!U22*$D$11</x:f>
        <x:v>283333.3333333333</x:v>
      </x:c>
      <x:c r="V83" s="114" t="n">
        <x:f aca="0">'P&amp;L'!V22*$D$11</x:f>
        <x:v>283333.3333333333</x:v>
      </x:c>
      <x:c r="W83" s="114" t="n">
        <x:f aca="0">'P&amp;L'!W22*$D$11</x:f>
        <x:v>283333.3333333333</x:v>
      </x:c>
      <x:c r="X83" s="114" t="n">
        <x:f aca="0">'P&amp;L'!X22*$D$11</x:f>
        <x:v>283333.3333333333</x:v>
      </x:c>
      <x:c r="Y83" s="114" t="n">
        <x:f aca="0">'P&amp;L'!Y22*$D$11</x:f>
        <x:v>283333.3333333333</x:v>
      </x:c>
      <x:c r="Z83" s="114" t="n">
        <x:f aca="0">SUM(B83:M83)</x:f>
        <x:v>3400000</x:v>
      </x:c>
      <x:c r="AA83" s="114" t="n">
        <x:f aca="0">SUM(N83:Y83)</x:f>
        <x:v>3400000.0000000005</x:v>
      </x:c>
      <x:c r="AB83" s="107"/>
      <x:c r="AC83" s="107"/>
    </x:row>
    <x:row r="84" ht="18" hidden="0" customHeight="1">
      <x:c r="A84" s="110" t="s">
        <x:v>239</x:v>
      </x:c>
      <x:c r="B84" s="114" t="n">
        <x:f aca="0">B82-B83</x:f>
        <x:v>-3016879.083091903</x:v>
      </x:c>
      <x:c r="C84" s="114" t="n">
        <x:f aca="0">C82-C83</x:f>
        <x:v>-2710531.7272052118</x:v>
      </x:c>
      <x:c r="D84" s="114" t="n">
        <x:f aca="0">D82-D83</x:f>
        <x:v>-2391503.193259247</x:v>
      </x:c>
      <x:c r="E84" s="114" t="n">
        <x:f aca="0">E82-E83</x:f>
        <x:v>-1765465.9381336255</x:v>
      </x:c>
      <x:c r="F84" s="114" t="n">
        <x:f aca="0">F82-F83</x:f>
        <x:v>-833992.1356660805</x:v>
      </x:c>
      <x:c r="G84" s="114" t="n">
        <x:f aca="0">G82-G83</x:f>
        <x:v>402334.842783889</x:v>
      </x:c>
      <x:c r="H84" s="114" t="n">
        <x:f aca="0">H82-H83</x:f>
        <x:v>1403921.8500828042</x:v>
      </x:c>
      <x:c r="I84" s="114" t="n">
        <x:f aca="0">I82-I83</x:f>
        <x:v>3252170.3315957035</x:v>
      </x:c>
      <x:c r="J84" s="114" t="n">
        <x:f aca="0">J82-J83</x:f>
        <x:v>5409483.659577626</x:v>
      </x:c>
      <x:c r="K84" s="114" t="n">
        <x:f aca="0">K82-K83</x:f>
        <x:v>7879277.461887778</x:v>
      </x:c>
      <x:c r="L84" s="114" t="n">
        <x:f aca="0">L82-L83</x:f>
        <x:v>10665992.98189554</x:v>
      </x:c>
      <x:c r="M84" s="114" t="n">
        <x:f aca="0">M82-M83</x:f>
        <x:v>13775113.515192432</x:v>
      </x:c>
      <x:c r="N84" s="114" t="n">
        <x:f aca="0">N82-N83</x:f>
        <x:v>16051101.892519573</x:v>
      </x:c>
      <x:c r="O84" s="114" t="n">
        <x:f aca="0">O82-O83</x:f>
        <x:v>19958802.979279388</x:v>
      </x:c>
      <x:c r="P84" s="114" t="n">
        <x:f aca="0">P82-P83</x:f>
        <x:v>24199200.387257915</x:v>
      </x:c>
      <x:c r="Q84" s="114" t="n">
        <x:f aca="0">Q82-Q83</x:f>
        <x:v>28761874.168139435</x:v>
      </x:c>
      <x:c r="R84" s="114" t="n">
        <x:f aca="0">R82-R83</x:f>
        <x:v>33637208.50129084</x:v>
      </x:c>
      <x:c r="S84" s="114" t="n">
        <x:f aca="0">S82-S83</x:f>
        <x:v>38816355.8783156</x:v>
      </x:c>
      <x:c r="T84" s="114" t="n">
        <x:f aca="0">T82-T83</x:f>
        <x:v>44291203.268835396</x:v>
      </x:c>
      <x:c r="U84" s="114" t="n">
        <x:f aca="0">U82-U83</x:f>
        <x:v>50054340.1691858</x:v>
      </x:c>
      <x:c r="V84" s="114" t="n">
        <x:f aca="0">V82-V83</x:f>
        <x:v>56099028.44092212</x:v>
      </x:c>
      <x:c r="W84" s="114" t="n">
        <x:f aca="0">W82-W83</x:f>
        <x:v>62419173.850967914</x:v>
      </x:c>
      <x:c r="X84" s="114" t="n">
        <x:f aca="0">X82-X83</x:f>
        <x:v>69009299.22991525</x:v>
      </x:c>
      <x:c r="Y84" s="114" t="n">
        <x:f aca="0">Y82-Y83</x:f>
        <x:v>75864519.16941735</x:v>
      </x:c>
      <x:c r="Z84" s="114" t="n">
        <x:f aca="0">SUM(B84:M84)</x:f>
        <x:v>32069922.56565971</x:v>
      </x:c>
      <x:c r="AA84" s="114" t="n">
        <x:f aca="0">SUM(N84:Y84)</x:f>
        <x:v>519162107.9360466</x:v>
      </x:c>
      <x:c r="AB84" s="107"/>
      <x:c r="AC84" s="107"/>
    </x:row>
    <x:row r="85" ht="18" hidden="0" customHeight="1">
      <x:c r="A85" s="110" t="s">
        <x:v>314</x:v>
      </x:c>
      <x:c r="B85" s="114" t="n">
        <x:f aca="0">MAX(B84,0)*Assumptions!$B$70</x:f>
        <x:v>0</x:v>
      </x:c>
      <x:c r="C85" s="114" t="n">
        <x:f aca="0">MAX(C84,0)*Assumptions!$B$70</x:f>
        <x:v>0</x:v>
      </x:c>
      <x:c r="D85" s="114" t="n">
        <x:f aca="0">MAX(D84,0)*Assumptions!$B$70</x:f>
        <x:v>0</x:v>
      </x:c>
      <x:c r="E85" s="114" t="n">
        <x:f aca="0">MAX(E84,0)*Assumptions!$B$70</x:f>
        <x:v>0</x:v>
      </x:c>
      <x:c r="F85" s="114" t="n">
        <x:f aca="0">MAX(F84,0)*Assumptions!$B$70</x:f>
        <x:v>0</x:v>
      </x:c>
      <x:c r="G85" s="114" t="n">
        <x:f aca="0">MAX(G84,0)*Assumptions!$B$70</x:f>
        <x:v>80466.9685567778</x:v>
      </x:c>
      <x:c r="H85" s="114" t="n">
        <x:f aca="0">MAX(H84,0)*Assumptions!$B$70</x:f>
        <x:v>280784.37001656083</x:v>
      </x:c>
      <x:c r="I85" s="114" t="n">
        <x:f aca="0">MAX(I84,0)*Assumptions!$B$70</x:f>
        <x:v>650434.0663191407</x:v>
      </x:c>
      <x:c r="J85" s="114" t="n">
        <x:f aca="0">MAX(J84,0)*Assumptions!$B$70</x:f>
        <x:v>1081896.7319155252</x:v>
      </x:c>
      <x:c r="K85" s="114" t="n">
        <x:f aca="0">MAX(K84,0)*Assumptions!$B$70</x:f>
        <x:v>1575855.4923775557</x:v>
      </x:c>
      <x:c r="L85" s="114" t="n">
        <x:f aca="0">MAX(L84,0)*Assumptions!$B$70</x:f>
        <x:v>2133198.5963791083</x:v>
      </x:c>
      <x:c r="M85" s="114" t="n">
        <x:f aca="0">MAX(M84,0)*Assumptions!$B$70</x:f>
        <x:v>2755022.7030384867</x:v>
      </x:c>
      <x:c r="N85" s="114" t="n">
        <x:f aca="0">MAX(N84,0)*Assumptions!$B$70</x:f>
        <x:v>3210220.378503915</x:v>
      </x:c>
      <x:c r="O85" s="114" t="n">
        <x:f aca="0">MAX(O84,0)*Assumptions!$B$70</x:f>
        <x:v>3991760.5958558777</x:v>
      </x:c>
      <x:c r="P85" s="114" t="n">
        <x:f aca="0">MAX(P84,0)*Assumptions!$B$70</x:f>
        <x:v>4839840.077451583</x:v>
      </x:c>
      <x:c r="Q85" s="114" t="n">
        <x:f aca="0">MAX(Q84,0)*Assumptions!$B$70</x:f>
        <x:v>5752374.833627887</x:v>
      </x:c>
      <x:c r="R85" s="114" t="n">
        <x:f aca="0">MAX(R84,0)*Assumptions!$B$70</x:f>
        <x:v>6727441.700258169</x:v>
      </x:c>
      <x:c r="S85" s="114" t="n">
        <x:f aca="0">MAX(S84,0)*Assumptions!$B$70</x:f>
        <x:v>7763271.17566312</x:v>
      </x:c>
      <x:c r="T85" s="114" t="n">
        <x:f aca="0">MAX(T84,0)*Assumptions!$B$70</x:f>
        <x:v>8858240.65376708</x:v>
      </x:c>
      <x:c r="U85" s="114" t="n">
        <x:f aca="0">MAX(U84,0)*Assumptions!$B$70</x:f>
        <x:v>10010868.03383716</x:v>
      </x:c>
      <x:c r="V85" s="114" t="n">
        <x:f aca="0">MAX(V84,0)*Assumptions!$B$70</x:f>
        <x:v>11219805.688184425</x:v>
      </x:c>
      <x:c r="W85" s="114" t="n">
        <x:f aca="0">MAX(W84,0)*Assumptions!$B$70</x:f>
        <x:v>12483834.770193584</x:v>
      </x:c>
      <x:c r="X85" s="114" t="n">
        <x:f aca="0">MAX(X84,0)*Assumptions!$B$70</x:f>
        <x:v>13801859.84598305</x:v>
      </x:c>
      <x:c r="Y85" s="114" t="n">
        <x:f aca="0">MAX(Y84,0)*Assumptions!$B$70</x:f>
        <x:v>15172903.833883472</x:v>
      </x:c>
      <x:c r="Z85" s="114" t="n">
        <x:f aca="0">SUM(B85:M85)</x:f>
        <x:v>8557658.928603154</x:v>
      </x:c>
      <x:c r="AA85" s="114" t="n">
        <x:f aca="0">SUM(N85:Y85)</x:f>
        <x:v>103832421.58720931</x:v>
      </x:c>
      <x:c r="AB85" s="107"/>
      <x:c r="AC85" s="107"/>
    </x:row>
    <x:row r="86" ht="18" hidden="0" customHeight="1">
      <x:c r="A86" s="110" t="s">
        <x:v>250</x:v>
      </x:c>
      <x:c r="B86" s="114" t="n">
        <x:f aca="0">B84-B85</x:f>
        <x:v>-3016879.083091903</x:v>
      </x:c>
      <x:c r="C86" s="114" t="n">
        <x:f aca="0">C84-C85</x:f>
        <x:v>-2710531.7272052118</x:v>
      </x:c>
      <x:c r="D86" s="114" t="n">
        <x:f aca="0">D84-D85</x:f>
        <x:v>-2391503.193259247</x:v>
      </x:c>
      <x:c r="E86" s="114" t="n">
        <x:f aca="0">E84-E85</x:f>
        <x:v>-1765465.9381336255</x:v>
      </x:c>
      <x:c r="F86" s="114" t="n">
        <x:f aca="0">F84-F85</x:f>
        <x:v>-833992.1356660805</x:v>
      </x:c>
      <x:c r="G86" s="114" t="n">
        <x:f aca="0">G84-G85</x:f>
        <x:v>321867.87422711117</x:v>
      </x:c>
      <x:c r="H86" s="114" t="n">
        <x:f aca="0">H84-H85</x:f>
        <x:v>1123137.4800662433</x:v>
      </x:c>
      <x:c r="I86" s="114" t="n">
        <x:f aca="0">I84-I85</x:f>
        <x:v>2601736.265276563</x:v>
      </x:c>
      <x:c r="J86" s="114" t="n">
        <x:f aca="0">J84-J85</x:f>
        <x:v>4327586.927662101</x:v>
      </x:c>
      <x:c r="K86" s="114" t="n">
        <x:f aca="0">K84-K85</x:f>
        <x:v>6303421.969510222</x:v>
      </x:c>
      <x:c r="L86" s="114" t="n">
        <x:f aca="0">L84-L85</x:f>
        <x:v>8532794.385516431</x:v>
      </x:c>
      <x:c r="M86" s="114" t="n">
        <x:f aca="0">M84-M85</x:f>
        <x:v>11020090.812153947</x:v>
      </x:c>
      <x:c r="N86" s="114" t="n">
        <x:f aca="0">N84-N85</x:f>
        <x:v>12840881.514015658</x:v>
      </x:c>
      <x:c r="O86" s="114" t="n">
        <x:f aca="0">O84-O85</x:f>
        <x:v>15967042.383423511</x:v>
      </x:c>
      <x:c r="P86" s="114" t="n">
        <x:f aca="0">P84-P85</x:f>
        <x:v>19359360.309806332</x:v>
      </x:c>
      <x:c r="Q86" s="114" t="n">
        <x:f aca="0">Q84-Q85</x:f>
        <x:v>23009499.33451155</x:v>
      </x:c>
      <x:c r="R86" s="114" t="n">
        <x:f aca="0">R84-R85</x:f>
        <x:v>26909766.801032674</x:v>
      </x:c>
      <x:c r="S86" s="114" t="n">
        <x:f aca="0">S84-S85</x:f>
        <x:v>31053084.702652477</x:v>
      </x:c>
      <x:c r="T86" s="114" t="n">
        <x:f aca="0">T84-T85</x:f>
        <x:v>35432962.61506832</x:v>
      </x:c>
      <x:c r="U86" s="114" t="n">
        <x:f aca="0">U84-U85</x:f>
        <x:v>40043472.13534864</x:v>
      </x:c>
      <x:c r="V86" s="114" t="n">
        <x:f aca="0">V84-V85</x:f>
        <x:v>44879222.75273769</x:v>
      </x:c>
      <x:c r="W86" s="114" t="n">
        <x:f aca="0">W84-W85</x:f>
        <x:v>49935339.08077433</x:v>
      </x:c>
      <x:c r="X86" s="114" t="n">
        <x:f aca="0">X84-X85</x:f>
        <x:v>55207439.383932196</x:v>
      </x:c>
      <x:c r="Y86" s="114" t="n">
        <x:f aca="0">Y84-Y85</x:f>
        <x:v>60691615.33553388</x:v>
      </x:c>
      <x:c r="Z86" s="114" t="n">
        <x:f aca="0">SUM(B86:M86)</x:f>
        <x:v>23512263.637056552</x:v>
      </x:c>
      <x:c r="AA86" s="114" t="n">
        <x:f aca="0">SUM(N86:Y86)</x:f>
        <x:v>415329686.3488372</x:v>
      </x:c>
      <x:c r="AB86" s="107"/>
      <x:c r="AC86" s="107"/>
    </x:row>
    <x:row r="87" ht="18" hidden="0" customHeight="1">
      <x:c r="A87" s="110" t="s">
        <x:v>315</x:v>
      </x:c>
      <x:c r="B87" s="114" t="n">
        <x:f aca="0">B86+B83</x:f>
        <x:v>-2733545.74975857</x:v>
      </x:c>
      <x:c r="C87" s="114" t="n">
        <x:f aca="0">C86+C83</x:f>
        <x:v>-2427198.3938718783</x:v>
      </x:c>
      <x:c r="D87" s="114" t="n">
        <x:f aca="0">D86+D83</x:f>
        <x:v>-2108169.8599259136</x:v>
      </x:c>
      <x:c r="E87" s="114" t="n">
        <x:f aca="0">E86+E83</x:f>
        <x:v>-1482132.6048002923</x:v>
      </x:c>
      <x:c r="F87" s="114" t="n">
        <x:f aca="0">F86+F83</x:f>
        <x:v>-550658.8023327473</x:v>
      </x:c>
      <x:c r="G87" s="114" t="n">
        <x:f aca="0">G86+G83</x:f>
        <x:v>605201.2075604445</x:v>
      </x:c>
      <x:c r="H87" s="114" t="n">
        <x:f aca="0">H86+H83</x:f>
        <x:v>1406470.8133995766</x:v>
      </x:c>
      <x:c r="I87" s="114" t="n">
        <x:f aca="0">I86+I83</x:f>
        <x:v>2885069.5986098964</x:v>
      </x:c>
      <x:c r="J87" s="114" t="n">
        <x:f aca="0">J86+J83</x:f>
        <x:v>4610920.260995434</x:v>
      </x:c>
      <x:c r="K87" s="114" t="n">
        <x:f aca="0">K86+K83</x:f>
        <x:v>6586755.302843555</x:v>
      </x:c>
      <x:c r="L87" s="114" t="n">
        <x:f aca="0">L86+L83</x:f>
        <x:v>8816127.718849765</x:v>
      </x:c>
      <x:c r="M87" s="114" t="n">
        <x:f aca="0">M86+M83</x:f>
        <x:v>11303424.14548728</x:v>
      </x:c>
      <x:c r="N87" s="114" t="n">
        <x:f aca="0">N86+N83</x:f>
        <x:v>13124214.847348992</x:v>
      </x:c>
      <x:c r="O87" s="114" t="n">
        <x:f aca="0">O86+O83</x:f>
        <x:v>16250375.716756845</x:v>
      </x:c>
      <x:c r="P87" s="114" t="n">
        <x:f aca="0">P86+P83</x:f>
        <x:v>19642693.643139664</x:v>
      </x:c>
      <x:c r="Q87" s="114" t="n">
        <x:f aca="0">Q86+Q83</x:f>
        <x:v>23292832.66784488</x:v>
      </x:c>
      <x:c r="R87" s="114" t="n">
        <x:f aca="0">R86+R83</x:f>
        <x:v>27193100.134366006</x:v>
      </x:c>
      <x:c r="S87" s="114" t="n">
        <x:f aca="0">S86+S83</x:f>
        <x:v>31336418.03598581</x:v>
      </x:c>
      <x:c r="T87" s="114" t="n">
        <x:f aca="0">T86+T83</x:f>
        <x:v>35716295.94840165</x:v>
      </x:c>
      <x:c r="U87" s="114" t="n">
        <x:f aca="0">U86+U83</x:f>
        <x:v>40326805.468681976</x:v>
      </x:c>
      <x:c r="V87" s="114" t="n">
        <x:f aca="0">V86+V83</x:f>
        <x:v>45162556.08607103</x:v>
      </x:c>
      <x:c r="W87" s="114" t="n">
        <x:f aca="0">W86+W83</x:f>
        <x:v>50218672.414107665</x:v>
      </x:c>
      <x:c r="X87" s="114" t="n">
        <x:f aca="0">X86+X83</x:f>
        <x:v>55490772.71726553</x:v>
      </x:c>
      <x:c r="Y87" s="114" t="n">
        <x:f aca="0">Y86+Y83</x:f>
        <x:v>60974948.668867216</x:v>
      </x:c>
      <x:c r="Z87" s="114" t="n">
        <x:f aca="0">SUM(B87:M87)</x:f>
        <x:v>26912263.637056552</x:v>
      </x:c>
      <x:c r="AA87" s="114" t="n">
        <x:f aca="0">SUM(N87:Y87)</x:f>
        <x:v>418729686.3488373</x:v>
      </x:c>
      <x:c r="AB87" s="107"/>
      <x:c r="AC87" s="107"/>
    </x:row>
    <x:row r="88" ht="18" hidden="0" customHeight="1">
      <x:c r="A88" s="110" t="s">
        <x:v>316</x:v>
      </x:c>
      <x:c r="B88" s="114" t="n">
        <x:f aca="0">-(Costs!B14+Costs!B26)*$D$11</x:f>
        <x:v>-6800000</x:v>
      </x:c>
      <x:c r="C88" s="114" t="n">
        <x:f aca="0">-(Costs!C14+Costs!C26)*$D$11</x:f>
        <x:v>0</x:v>
      </x:c>
      <x:c r="D88" s="114" t="n">
        <x:f aca="0">-(Costs!D14+Costs!D26)*$D$11</x:f>
        <x:v>0</x:v>
      </x:c>
      <x:c r="E88" s="114" t="n">
        <x:f aca="0">-(Costs!E14+Costs!E26)*$D$11</x:f>
        <x:v>0</x:v>
      </x:c>
      <x:c r="F88" s="114" t="n">
        <x:f aca="0">-(Costs!F14+Costs!F26)*$D$11</x:f>
        <x:v>0</x:v>
      </x:c>
      <x:c r="G88" s="114" t="n">
        <x:f aca="0">-(Costs!G14+Costs!G26)*$D$11</x:f>
        <x:v>0</x:v>
      </x:c>
      <x:c r="H88" s="114" t="n">
        <x:f aca="0">-(Costs!H14+Costs!H26)*$D$11</x:f>
        <x:v>0</x:v>
      </x:c>
      <x:c r="I88" s="114" t="n">
        <x:f aca="0">-(Costs!I14+Costs!I26)*$D$11</x:f>
        <x:v>0</x:v>
      </x:c>
      <x:c r="J88" s="114" t="n">
        <x:f aca="0">-(Costs!J14+Costs!J26)*$D$11</x:f>
        <x:v>0</x:v>
      </x:c>
      <x:c r="K88" s="114" t="n">
        <x:f aca="0">-(Costs!K14+Costs!K26)*$D$11</x:f>
        <x:v>0</x:v>
      </x:c>
      <x:c r="L88" s="114" t="n">
        <x:f aca="0">-(Costs!L14+Costs!L26)*$D$11</x:f>
        <x:v>0</x:v>
      </x:c>
      <x:c r="M88" s="114" t="n">
        <x:f aca="0">-(Costs!M14+Costs!M26)*$D$11</x:f>
        <x:v>0</x:v>
      </x:c>
      <x:c r="N88" s="114" t="n">
        <x:f aca="0">-(Costs!N14+Costs!N26)*$D$11</x:f>
        <x:v>0</x:v>
      </x:c>
      <x:c r="O88" s="114" t="n">
        <x:f aca="0">-(Costs!O14+Costs!O26)*$D$11</x:f>
        <x:v>0</x:v>
      </x:c>
      <x:c r="P88" s="114" t="n">
        <x:f aca="0">-(Costs!P14+Costs!P26)*$D$11</x:f>
        <x:v>0</x:v>
      </x:c>
      <x:c r="Q88" s="114" t="n">
        <x:f aca="0">-(Costs!Q14+Costs!Q26)*$D$11</x:f>
        <x:v>0</x:v>
      </x:c>
      <x:c r="R88" s="114" t="n">
        <x:f aca="0">-(Costs!R14+Costs!R26)*$D$11</x:f>
        <x:v>0</x:v>
      </x:c>
      <x:c r="S88" s="114" t="n">
        <x:f aca="0">-(Costs!S14+Costs!S26)*$D$11</x:f>
        <x:v>0</x:v>
      </x:c>
      <x:c r="T88" s="114" t="n">
        <x:f aca="0">-(Costs!T14+Costs!T26)*$D$11</x:f>
        <x:v>0</x:v>
      </x:c>
      <x:c r="U88" s="114" t="n">
        <x:f aca="0">-(Costs!U14+Costs!U26)*$D$11</x:f>
        <x:v>0</x:v>
      </x:c>
      <x:c r="V88" s="114" t="n">
        <x:f aca="0">-(Costs!V14+Costs!V26)*$D$11</x:f>
        <x:v>0</x:v>
      </x:c>
      <x:c r="W88" s="114" t="n">
        <x:f aca="0">-(Costs!W14+Costs!W26)*$D$11</x:f>
        <x:v>0</x:v>
      </x:c>
      <x:c r="X88" s="114" t="n">
        <x:f aca="0">-(Costs!X14+Costs!X26)*$D$11</x:f>
        <x:v>0</x:v>
      </x:c>
      <x:c r="Y88" s="114" t="n">
        <x:f aca="0">-(Costs!Y14+Costs!Y26)*$D$11</x:f>
        <x:v>0</x:v>
      </x:c>
      <x:c r="Z88" s="114" t="n">
        <x:f aca="0">SUM(B88:M88)</x:f>
        <x:v>-6800000</x:v>
      </x:c>
      <x:c r="AA88" s="114" t="n">
        <x:f aca="0">SUM(N88:Y88)</x:f>
        <x:v>0</x:v>
      </x:c>
      <x:c r="AB88" s="107"/>
      <x:c r="AC88" s="107"/>
    </x:row>
    <x:row r="89" ht="18" hidden="0" customHeight="1">
      <x:c r="A89" s="110" t="s">
        <x:v>255</x:v>
      </x:c>
      <x:c r="B89" s="114" t="n">
        <x:f aca="0">0</x:f>
        <x:v>0</x:v>
      </x:c>
      <x:c r="C89" s="114" t="n">
        <x:f aca="0">0</x:f>
        <x:v>0</x:v>
      </x:c>
      <x:c r="D89" s="114" t="n">
        <x:f aca="0">0</x:f>
        <x:v>0</x:v>
      </x:c>
      <x:c r="E89" s="114" t="n">
        <x:f aca="0">0</x:f>
        <x:v>0</x:v>
      </x:c>
      <x:c r="F89" s="114" t="n">
        <x:f aca="0">0</x:f>
        <x:v>0</x:v>
      </x:c>
      <x:c r="G89" s="114" t="n">
        <x:f aca="0">0</x:f>
        <x:v>0</x:v>
      </x:c>
      <x:c r="H89" s="114" t="n">
        <x:f aca="0">0</x:f>
        <x:v>0</x:v>
      </x:c>
      <x:c r="I89" s="114" t="n">
        <x:f aca="0">0</x:f>
        <x:v>0</x:v>
      </x:c>
      <x:c r="J89" s="114" t="n">
        <x:f aca="0">0</x:f>
        <x:v>0</x:v>
      </x:c>
      <x:c r="K89" s="114" t="n">
        <x:f aca="0">0</x:f>
        <x:v>0</x:v>
      </x:c>
      <x:c r="L89" s="114" t="n">
        <x:f aca="0">0</x:f>
        <x:v>0</x:v>
      </x:c>
      <x:c r="M89" s="114" t="n">
        <x:f aca="0">0</x:f>
        <x:v>0</x:v>
      </x:c>
      <x:c r="N89" s="114" t="n">
        <x:f aca="0">0</x:f>
        <x:v>0</x:v>
      </x:c>
      <x:c r="O89" s="114" t="n">
        <x:f aca="0">0</x:f>
        <x:v>0</x:v>
      </x:c>
      <x:c r="P89" s="114" t="n">
        <x:f aca="0">0</x:f>
        <x:v>0</x:v>
      </x:c>
      <x:c r="Q89" s="114" t="n">
        <x:f aca="0">0</x:f>
        <x:v>0</x:v>
      </x:c>
      <x:c r="R89" s="114" t="n">
        <x:f aca="0">0</x:f>
        <x:v>0</x:v>
      </x:c>
      <x:c r="S89" s="114" t="n">
        <x:f aca="0">0</x:f>
        <x:v>0</x:v>
      </x:c>
      <x:c r="T89" s="114" t="n">
        <x:f aca="0">0</x:f>
        <x:v>0</x:v>
      </x:c>
      <x:c r="U89" s="114" t="n">
        <x:f aca="0">0</x:f>
        <x:v>0</x:v>
      </x:c>
      <x:c r="V89" s="114" t="n">
        <x:f aca="0">0</x:f>
        <x:v>0</x:v>
      </x:c>
      <x:c r="W89" s="114" t="n">
        <x:f aca="0">0</x:f>
        <x:v>0</x:v>
      </x:c>
      <x:c r="X89" s="114" t="n">
        <x:f aca="0">0</x:f>
        <x:v>0</x:v>
      </x:c>
      <x:c r="Y89" s="114" t="n">
        <x:f aca="0">0</x:f>
        <x:v>0</x:v>
      </x:c>
      <x:c r="Z89" s="114" t="n">
        <x:f aca="0">SUM(B89:M89)</x:f>
        <x:v>0</x:v>
      </x:c>
      <x:c r="AA89" s="114" t="n">
        <x:f aca="0">SUM(N89:Y89)</x:f>
        <x:v>0</x:v>
      </x:c>
      <x:c r="AB89" s="107"/>
      <x:c r="AC89" s="107"/>
    </x:row>
    <x:row r="90" ht="18" hidden="0" customHeight="1">
      <x:c r="A90" s="115" t="s">
        <x:v>259</x:v>
      </x:c>
      <x:c r="B90" s="116" t="n">
        <x:f aca="0">SUM(B87,B88,B89)</x:f>
        <x:v>-9533545.74975857</x:v>
      </x:c>
      <x:c r="C90" s="116" t="n">
        <x:f aca="0">SUM(C87,C88,C89)</x:f>
        <x:v>-2427198.3938718783</x:v>
      </x:c>
      <x:c r="D90" s="116" t="n">
        <x:f aca="0">SUM(D87,D88,D89)</x:f>
        <x:v>-2108169.8599259136</x:v>
      </x:c>
      <x:c r="E90" s="116" t="n">
        <x:f aca="0">SUM(E87,E88,E89)</x:f>
        <x:v>-1482132.6048002923</x:v>
      </x:c>
      <x:c r="F90" s="116" t="n">
        <x:f aca="0">SUM(F87,F88,F89)</x:f>
        <x:v>-550658.8023327473</x:v>
      </x:c>
      <x:c r="G90" s="116" t="n">
        <x:f aca="0">SUM(G87,G88,G89)</x:f>
        <x:v>605201.2075604445</x:v>
      </x:c>
      <x:c r="H90" s="116" t="n">
        <x:f aca="0">SUM(H87,H88,H89)</x:f>
        <x:v>1406470.8133995766</x:v>
      </x:c>
      <x:c r="I90" s="116" t="n">
        <x:f aca="0">SUM(I87,I88,I89)</x:f>
        <x:v>2885069.5986098964</x:v>
      </x:c>
      <x:c r="J90" s="116" t="n">
        <x:f aca="0">SUM(J87,J88,J89)</x:f>
        <x:v>4610920.260995434</x:v>
      </x:c>
      <x:c r="K90" s="116" t="n">
        <x:f aca="0">SUM(K87,K88,K89)</x:f>
        <x:v>6586755.302843555</x:v>
      </x:c>
      <x:c r="L90" s="116" t="n">
        <x:f aca="0">SUM(L87,L88,L89)</x:f>
        <x:v>8816127.718849765</x:v>
      </x:c>
      <x:c r="M90" s="116" t="n">
        <x:f aca="0">SUM(M87,M88,M89)</x:f>
        <x:v>11303424.14548728</x:v>
      </x:c>
      <x:c r="N90" s="116" t="n">
        <x:f aca="0">SUM(N87,N88,N89)</x:f>
        <x:v>13124214.847348992</x:v>
      </x:c>
      <x:c r="O90" s="116" t="n">
        <x:f aca="0">SUM(O87,O88,O89)</x:f>
        <x:v>16250375.716756845</x:v>
      </x:c>
      <x:c r="P90" s="116" t="n">
        <x:f aca="0">SUM(P87,P88,P89)</x:f>
        <x:v>19642693.643139664</x:v>
      </x:c>
      <x:c r="Q90" s="116" t="n">
        <x:f aca="0">SUM(Q87,Q88,Q89)</x:f>
        <x:v>23292832.66784488</x:v>
      </x:c>
      <x:c r="R90" s="116" t="n">
        <x:f aca="0">SUM(R87,R88,R89)</x:f>
        <x:v>27193100.134366006</x:v>
      </x:c>
      <x:c r="S90" s="116" t="n">
        <x:f aca="0">SUM(S87,S88,S89)</x:f>
        <x:v>31336418.03598581</x:v>
      </x:c>
      <x:c r="T90" s="116" t="n">
        <x:f aca="0">SUM(T87,T88,T89)</x:f>
        <x:v>35716295.94840165</x:v>
      </x:c>
      <x:c r="U90" s="116" t="n">
        <x:f aca="0">SUM(U87,U88,U89)</x:f>
        <x:v>40326805.468681976</x:v>
      </x:c>
      <x:c r="V90" s="116" t="n">
        <x:f aca="0">SUM(V87,V88,V89)</x:f>
        <x:v>45162556.08607103</x:v>
      </x:c>
      <x:c r="W90" s="116" t="n">
        <x:f aca="0">SUM(W87,W88,W89)</x:f>
        <x:v>50218672.414107665</x:v>
      </x:c>
      <x:c r="X90" s="116" t="n">
        <x:f aca="0">SUM(X87,X88,X89)</x:f>
        <x:v>55490772.71726553</x:v>
      </x:c>
      <x:c r="Y90" s="116" t="n">
        <x:f aca="0">SUM(Y87,Y88,Y89)</x:f>
        <x:v>60974948.668867216</x:v>
      </x:c>
      <x:c r="Z90" s="116" t="n">
        <x:f aca="0">SUM(B90:M90)</x:f>
        <x:v>20112263.637056552</x:v>
      </x:c>
      <x:c r="AA90" s="116" t="n">
        <x:f aca="0">SUM(N90:Y90)</x:f>
        <x:v>418729686.3488373</x:v>
      </x:c>
      <x:c r="AB90" s="107"/>
      <x:c r="AC90" s="107"/>
    </x:row>
    <x:row r="91" ht="18" hidden="0" customHeight="1">
      <x:c r="A91" s="110" t="s">
        <x:v>273</x:v>
      </x:c>
      <x:c r="B91" s="119" t="n">
        <x:f aca="0">'Cash Flow'!B21</x:f>
        <x:v>0.984921375260889</x:v>
      </x:c>
      <x:c r="C91" s="119" t="n">
        <x:f aca="0">'Cash Flow'!C21</x:f>
        <x:v>0.9700701154458005</x:v>
      </x:c>
      <x:c r="D91" s="119" t="n">
        <x:f aca="0">'Cash Flow'!D21</x:f>
        <x:v>0.9554427922043668</x:v>
      </x:c>
      <x:c r="E91" s="119" t="n">
        <x:f aca="0">'Cash Flow'!E21</x:f>
        <x:v>0.9410360288810284</x:v>
      </x:c>
      <x:c r="F91" s="119" t="n">
        <x:f aca="0">'Cash Flow'!F21</x:f>
        <x:v>0.926846499735548</x:v>
      </x:c>
      <x:c r="G91" s="119" t="n">
        <x:f aca="0">'Cash Flow'!G21</x:f>
        <x:v>0.9128709291752769</x:v>
      </x:c>
      <x:c r="H91" s="119" t="n">
        <x:f aca="0">'Cash Flow'!H21</x:f>
        <x:v>0.899106090998999</x:v>
      </x:c>
      <x:c r="I91" s="119" t="n">
        <x:f aca="0">'Cash Flow'!I21</x:f>
        <x:v>0.8855488076521759</x:v>
      </x:c>
      <x:c r="J91" s="119" t="n">
        <x:f aca="0">'Cash Flow'!J21</x:f>
        <x:v>0.8721959494934213</x:v>
      </x:c>
      <x:c r="K91" s="119" t="n">
        <x:f aca="0">'Cash Flow'!K21</x:f>
        <x:v>0.8590444340720371</x:v>
      </x:c>
      <x:c r="L91" s="119" t="n">
        <x:f aca="0">'Cash Flow'!L21</x:f>
        <x:v>0.8460912254164427</x:v>
      </x:c>
      <x:c r="M91" s="119" t="n">
        <x:f aca="0">'Cash Flow'!M21</x:f>
        <x:v>0.8333333333333334</x:v>
      </x:c>
      <x:c r="N91" s="119" t="n">
        <x:f aca="0">'Cash Flow'!N21</x:f>
        <x:v>0.8207678127174073</x:v>
      </x:c>
      <x:c r="O91" s="119" t="n">
        <x:f aca="0">'Cash Flow'!O21</x:f>
        <x:v>0.8083917628715004</x:v>
      </x:c>
      <x:c r="P91" s="119" t="n">
        <x:f aca="0">'Cash Flow'!P21</x:f>
        <x:v>0.7962023268369725</x:v>
      </x:c>
      <x:c r="Q91" s="119" t="n">
        <x:f aca="0">'Cash Flow'!Q21</x:f>
        <x:v>0.7841966907341904</x:v>
      </x:c>
      <x:c r="R91" s="119" t="n">
        <x:f aca="0">'Cash Flow'!R21</x:f>
        <x:v>0.7723720831129566</x:v>
      </x:c>
      <x:c r="S91" s="119" t="n">
        <x:f aca="0">'Cash Flow'!S21</x:f>
        <x:v>0.7607257743127308</x:v>
      </x:c>
      <x:c r="T91" s="119" t="n">
        <x:f aca="0">'Cash Flow'!T21</x:f>
        <x:v>0.7492550758324993</x:v>
      </x:c>
      <x:c r="U91" s="119" t="n">
        <x:f aca="0">'Cash Flow'!U21</x:f>
        <x:v>0.7379573397101465</x:v>
      </x:c>
      <x:c r="V91" s="119" t="n">
        <x:f aca="0">'Cash Flow'!V21</x:f>
        <x:v>0.7268299579111844</x:v>
      </x:c>
      <x:c r="W91" s="119" t="n">
        <x:f aca="0">'Cash Flow'!W21</x:f>
        <x:v>0.7158703617266977</x:v>
      </x:c>
      <x:c r="X91" s="119" t="n">
        <x:f aca="0">'Cash Flow'!X21</x:f>
        <x:v>0.7050760211803689</x:v>
      </x:c>
      <x:c r="Y91" s="119" t="n">
        <x:f aca="0">'Cash Flow'!Y21</x:f>
        <x:v>0.6944444444444444</x:v>
      </x:c>
      <x:c r="Z91" s="119" t="n">
        <x:f aca="0">AVERAGE(B91:M91)</x:f>
        <x:v>0.9072089651391101</x:v>
      </x:c>
      <x:c r="AA91" s="119" t="n">
        <x:f aca="0">AVERAGE(N91:Y91)</x:f>
        <x:v>0.7560074709492585</x:v>
      </x:c>
      <x:c r="AB91" s="107"/>
      <x:c r="AC91" s="107"/>
    </x:row>
    <x:row r="92" ht="18" hidden="0" customHeight="1">
      <x:c r="A92" s="115" t="s">
        <x:v>317</x:v>
      </x:c>
      <x:c r="B92" s="116" t="n">
        <x:f aca="0">B90*B91</x:f>
        <x:v>-9389792.990964813</x:v>
      </x:c>
      <x:c r="C92" s="116" t="n">
        <x:f aca="0">C90*C91</x:f>
        <x:v>-2354552.6261531543</x:v>
      </x:c>
      <x:c r="D92" s="116" t="n">
        <x:f aca="0">D90*D91</x:f>
        <x:v>-2014235.6974087036</x:v>
      </x:c>
      <x:c r="E92" s="116" t="n">
        <x:f aca="0">E90*E91</x:f>
        <x:v>-1394740.1806963617</x:v>
      </x:c>
      <x:c r="F92" s="116" t="n">
        <x:f aca="0">F90*F91</x:f>
        <x:v>-510376.1834906758</x:v>
      </x:c>
      <x:c r="G92" s="116" t="n">
        <x:f aca="0">G90*G91</x:f>
        <x:v>552470.5886837025</x:v>
      </x:c>
      <x:c r="H92" s="116" t="n">
        <x:f aca="0">H90*H91</x:f>
        <x:v>1264566.475139876</x:v>
      </x:c>
      <x:c r="I92" s="116" t="n">
        <x:f aca="0">I90*I91</x:f>
        <x:v>2554869.9430425353</x:v>
      </x:c>
      <x:c r="J92" s="116" t="n">
        <x:f aca="0">J90*J91</x:f>
        <x:v>4021625.975077366</x:v>
      </x:c>
      <x:c r="K92" s="116" t="n">
        <x:f aca="0">K90*K91</x:f>
        <x:v>5658315.481502231</x:v>
      </x:c>
      <x:c r="L92" s="116" t="n">
        <x:f aca="0">L90*L91</x:f>
        <x:v>7459248.305069465</x:v>
      </x:c>
      <x:c r="M92" s="116" t="n">
        <x:f aca="0">M90*M91</x:f>
        <x:v>9419520.121239401</x:v>
      </x:c>
      <x:c r="N92" s="116" t="n">
        <x:f aca="0">N90*N91</x:f>
        <x:v>10771933.113891954</x:v>
      </x:c>
      <x:c r="O92" s="116" t="n">
        <x:f aca="0">O90*O91</x:f>
        <x:v>13136669.872993287</x:v>
      </x:c>
      <x:c r="P92" s="116" t="n">
        <x:f aca="0">P90*P91</x:f>
        <x:v>15639558.384013608</x:v>
      </x:c>
      <x:c r="Q92" s="116" t="n">
        <x:f aca="0">Q90*Q91</x:f>
        <x:v>18266162.2959492</x:v>
      </x:c>
      <x:c r="R92" s="116" t="n">
        <x:f aca="0">R90*R91</x:f>
        <x:v>21003191.39707949</x:v>
      </x:c>
      <x:c r="S92" s="116" t="n">
        <x:f aca="0">S90*S91</x:f>
        <x:v>23838420.874612726</x:v>
      </x:c>
      <x:c r="T92" s="116" t="n">
        <x:f aca="0">T90*T91</x:f>
        <x:v>26760616.029275667</x:v>
      </x:c>
      <x:c r="U92" s="116" t="n">
        <x:f aca="0">U90*U91</x:f>
        <x:v>29759462.08267714</x:v>
      </x:c>
      <x:c r="V92" s="116" t="n">
        <x:f aca="0">V90*V91</x:f>
        <x:v>32825498.739200514</x:v>
      </x:c>
      <x:c r="W92" s="116" t="n">
        <x:f aca="0">W90*W91</x:f>
        <x:v>35950059.18652179</x:v>
      </x:c>
      <x:c r="X92" s="116" t="n">
        <x:f aca="0">X90*X91</x:f>
        <x:v>39125213.23971375</x:v>
      </x:c>
      <x:c r="Y92" s="116" t="n">
        <x:f aca="0">Y90*Y91</x:f>
        <x:v>42343714.35338001</x:v>
      </x:c>
      <x:c r="Z92" s="116" t="n">
        <x:f aca="0">SUM(B92:M92)</x:f>
        <x:v>15266919.211040867</x:v>
      </x:c>
      <x:c r="AA92" s="116" t="n">
        <x:f aca="0">SUM(N92:Y92)</x:f>
        <x:v>309420499.5693091</x:v>
      </x:c>
      <x:c r="AB92" s="107"/>
      <x:c r="AC92" s="107"/>
    </x:row>
    <x:row r="93" ht="13.5" hidden="0" customHeight="1"/>
    <x:row r="94" ht="13.5" hidden="0" customHeight="1"/>
    <x:row r="95" ht="13.5" hidden="0" customHeight="1"/>
    <x:row r="96" ht="13.5" hidden="0" customHeight="1"/>
    <x:row r="97" ht="13.5" hidden="0" customHeight="1"/>
    <x:row r="98" ht="13.5" hidden="0" customHeight="1"/>
    <x:row r="99" ht="13.5" hidden="0" customHeight="1"/>
    <x:row r="100" ht="13.5" hidden="0" customHeight="1"/>
    <x:row r="101" ht="13.5" hidden="0" customHeight="1"/>
    <x:row r="102" ht="13.5" hidden="0" customHeight="1"/>
    <x:row r="103" ht="13.5" hidden="0" customHeight="1"/>
    <x:row r="104" ht="13.5" hidden="0" customHeight="1"/>
    <x:row r="105" ht="13.5" hidden="0" customHeight="1"/>
    <x:row r="106" ht="13.5" hidden="0" customHeight="1"/>
    <x:row r="107" ht="13.5" hidden="0" customHeight="1"/>
    <x:row r="108" ht="13.5" hidden="0" customHeight="1"/>
    <x:row r="109" ht="13.5" hidden="0" customHeight="1"/>
    <x:row r="110" ht="13.5" hidden="0" customHeight="1"/>
    <x:row r="111" ht="13.5" hidden="0" customHeight="1"/>
    <x:row r="112" ht="13.5" hidden="0" customHeight="1"/>
    <x:row r="113" ht="13.5" hidden="0" customHeight="1"/>
    <x:row r="114" ht="13.5" hidden="0" customHeight="1"/>
    <x:row r="115" ht="13.5" hidden="0" customHeight="1"/>
    <x:row r="116" ht="13.5" hidden="0" customHeight="1"/>
    <x:row r="117" ht="13.5" hidden="0" customHeight="1"/>
  </x:sheetData>
  <x:mergeCells>
    <x:mergeCell ref="A1:AC1"/>
    <x:mergeCell ref="A4:AC4"/>
    <x:mergeCell ref="A14:AC14"/>
    <x:mergeCell ref="A31:AC31"/>
    <x:mergeCell ref="A34:AC34"/>
    <x:mergeCell ref="A54:AC54"/>
    <x:mergeCell ref="A74:AC74"/>
  </x:mergeCells>
  <x:pageMargins left="0.7" right="0.7" top="0.75" bottom="0.75" header="0.3" footer="0.3"/>
  <x:drawing xmlns:r="http://schemas.openxmlformats.org/officeDocument/2006/relationships" r:id="Rd077682a31614f27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83203125" defaultRowHeight="15"/>
  <x:cols>
    <x:col min="1" max="1" width="24" hidden="0" customWidth="1"/>
    <x:col min="2" max="2" width="16.5" hidden="0" customWidth="1"/>
    <x:col min="3" max="3" width="28.15999984741211" hidden="0" customWidth="1"/>
    <x:col min="4" max="4" width="11.670000076293945" hidden="0" customWidth="1"/>
    <x:col min="5" max="5" width="33.83000183105469" hidden="0" customWidth="1"/>
    <x:col min="6" max="6" width="17.15999984741211" hidden="0" customWidth="1"/>
    <x:col min="7" max="7" width="21.670000076293945" hidden="0" customWidth="1"/>
    <x:col min="8" max="8" width="20.329999923706055" hidden="0" customWidth="1"/>
    <x:col min="9" max="9" width="20" hidden="0" customWidth="1"/>
    <x:col min="25" max="25" width="9.510000228881836" hidden="0" customWidth="1"/>
    <x:col min="26" max="26" width="10.329999923706055" hidden="0" customWidth="1"/>
  </x:cols>
  <x:sheetData>
    <x:row r="1" ht="21" hidden="0" customHeight="1">
      <x:c r="A1" s="121" t="s">
        <x:v>320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  <x:c r="M1" s="122"/>
      <x:c r="N1" s="122"/>
    </x:row>
    <x:row r="2" ht="15" hidden="0" customHeight="1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1"/>
      <x:c r="N2" s="51"/>
    </x:row>
    <x:row r="3" ht="13.5" hidden="0" customHeight="1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</x:row>
    <x:row r="4" ht="15" hidden="0" customHeight="1">
      <x:c r="A4" s="123" t="s">
        <x:v>321</x:v>
      </x:c>
      <x:c r="B4" s="123"/>
      <x:c r="C4" s="123"/>
      <x:c r="D4" s="123" t="s">
        <x:v>322</x:v>
      </x:c>
      <x:c r="E4" s="123"/>
      <x:c r="F4" s="123"/>
      <x:c r="G4" s="123" t="s">
        <x:v>323</x:v>
      </x:c>
      <x:c r="H4" s="123"/>
      <x:c r="I4" s="123"/>
      <x:c r="J4" s="123" t="s">
        <x:v>324</x:v>
      </x:c>
      <x:c r="K4" s="123"/>
      <x:c r="L4" s="123"/>
      <x:c r="M4" s="52"/>
      <x:c r="N4" s="52"/>
    </x:row>
    <x:row r="5" ht="13.5" hidden="0" customHeight="1">
      <x:c r="A5" s="124" t="n">
        <x:f aca="0">'Operating Model'!$Y$18</x:f>
        <x:v>233478.0349527323</x:v>
      </x:c>
      <x:c r="B5" s="124"/>
      <x:c r="C5" s="124"/>
      <x:c r="D5" s="124" t="n">
        <x:f aca="0">'Operating Model'!$Y$31</x:f>
        <x:v>20883.517906885518</x:v>
      </x:c>
      <x:c r="E5" s="124"/>
      <x:c r="F5" s="124"/>
      <x:c r="G5" s="124" t="n">
        <x:f aca="0">'Operating Model'!$Y$36</x:f>
        <x:v>18992.72092154978</x:v>
      </x:c>
      <x:c r="H5" s="124"/>
      <x:c r="I5" s="124"/>
      <x:c r="J5" s="124" t="n">
        <x:f aca="0">'Operating Model'!$Y$44</x:f>
        <x:v>15438.407945972587</x:v>
      </x:c>
      <x:c r="K5" s="124"/>
      <x:c r="L5" s="124"/>
      <x:c r="M5" s="52"/>
      <x:c r="N5" s="52"/>
    </x:row>
    <x:row r="6" ht="13.5" hidden="0" customHeight="1">
      <x:c r="A6" s="124"/>
      <x:c r="B6" s="124"/>
      <x:c r="C6" s="124"/>
      <x:c r="D6" s="124"/>
      <x:c r="E6" s="124"/>
      <x:c r="F6" s="124"/>
      <x:c r="G6" s="124"/>
      <x:c r="H6" s="124"/>
      <x:c r="I6" s="124"/>
      <x:c r="J6" s="124"/>
      <x:c r="K6" s="124"/>
      <x:c r="L6" s="124"/>
      <x:c r="M6" s="52"/>
      <x:c r="N6" s="52"/>
    </x:row>
    <x:row r="7" ht="13.5" hidden="0" customHeight="1">
      <x:c r="A7" s="124"/>
      <x:c r="B7" s="124"/>
      <x:c r="C7" s="124"/>
      <x:c r="D7" s="124"/>
      <x:c r="E7" s="124"/>
      <x:c r="F7" s="124"/>
      <x:c r="G7" s="124"/>
      <x:c r="H7" s="124"/>
      <x:c r="I7" s="124"/>
      <x:c r="J7" s="124"/>
      <x:c r="K7" s="124"/>
      <x:c r="L7" s="124"/>
      <x:c r="M7" s="52"/>
      <x:c r="N7" s="52"/>
    </x:row>
    <x:row r="8" ht="13.5" hidden="0" customHeight="1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</x:row>
    <x:row r="9" ht="15" hidden="0" customHeight="1">
      <x:c r="A9" s="123" t="s">
        <x:v>325</x:v>
      </x:c>
      <x:c r="B9" s="123"/>
      <x:c r="C9" s="123"/>
      <x:c r="D9" s="123" t="s">
        <x:v>326</x:v>
      </x:c>
      <x:c r="E9" s="123"/>
      <x:c r="F9" s="123"/>
      <x:c r="G9" s="123" t="s">
        <x:v>268</x:v>
      </x:c>
      <x:c r="H9" s="123"/>
      <x:c r="I9" s="123"/>
      <x:c r="J9" s="123" t="s">
        <x:v>282</x:v>
      </x:c>
      <x:c r="K9" s="123"/>
      <x:c r="L9" s="123"/>
      <x:c r="M9" s="52"/>
      <x:c r="N9" s="52"/>
    </x:row>
    <x:row r="10" ht="13.5" hidden="0" customHeight="1">
      <x:c r="A10" s="125" t="n">
        <x:f aca="0">'P&amp;L'!$Z$9</x:f>
        <x:v>66622722.7790002</x:v>
      </x:c>
      <x:c r="B10" s="125"/>
      <x:c r="C10" s="125"/>
      <x:c r="D10" s="125" t="n">
        <x:f aca="0">'P&amp;L'!$Z$20+0</x:f>
        <x:v>8604025.24756305</x:v>
      </x:c>
      <x:c r="E10" s="125"/>
      <x:c r="F10" s="125"/>
      <x:c r="G10" s="125" t="n">
        <x:f aca="0">'Cash Flow'!$Z$19</x:f>
        <x:v>-3705101.082059129</x:v>
      </x:c>
      <x:c r="H10" s="125"/>
      <x:c r="I10" s="125"/>
      <x:c r="J10" s="125" t="n">
        <x:f aca="0">DCF!$B$22</x:f>
        <x:v>1655714897.9513483</x:v>
      </x:c>
      <x:c r="K10" s="125"/>
      <x:c r="L10" s="125"/>
      <x:c r="M10" s="52"/>
      <x:c r="N10" s="52"/>
    </x:row>
    <x:row r="11" ht="13.5" hidden="0" customHeight="1">
      <x:c r="A11" s="125"/>
      <x:c r="B11" s="125"/>
      <x:c r="C11" s="125"/>
      <x:c r="D11" s="125"/>
      <x:c r="E11" s="125"/>
      <x:c r="F11" s="125"/>
      <x:c r="G11" s="125"/>
      <x:c r="H11" s="125"/>
      <x:c r="I11" s="125"/>
      <x:c r="J11" s="125"/>
      <x:c r="K11" s="125"/>
      <x:c r="L11" s="125"/>
      <x:c r="M11" s="52"/>
      <x:c r="N11" s="52"/>
    </x:row>
    <x:row r="12" ht="13.5" hidden="0" customHeight="1">
      <x:c r="A12" s="125"/>
      <x:c r="B12" s="125"/>
      <x:c r="C12" s="125"/>
      <x:c r="D12" s="125"/>
      <x:c r="E12" s="125"/>
      <x:c r="F12" s="125"/>
      <x:c r="G12" s="125"/>
      <x:c r="H12" s="125"/>
      <x:c r="I12" s="125"/>
      <x:c r="J12" s="125"/>
      <x:c r="K12" s="125"/>
      <x:c r="L12" s="125"/>
      <x:c r="M12" s="52"/>
      <x:c r="N12" s="52"/>
    </x:row>
    <x:row r="13" ht="13.5" hidden="0" customHeight="1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</x:row>
    <x:row r="14" ht="15" hidden="0" customHeight="1">
      <x:c r="A14" s="58" t="s">
        <x:v>327</x:v>
      </x:c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9"/>
      <x:c r="N14" s="59"/>
    </x:row>
    <x:row r="15" ht="15.75" hidden="0" customHeight="1">
      <x:c r="A15" s="126" t="s">
        <x:v>84</x:v>
      </x:c>
      <x:c r="B15" s="126" t="s">
        <x:v>144</x:v>
      </x:c>
      <x:c r="C15" s="126" t="s">
        <x:v>145</x:v>
      </x:c>
      <x:c r="D15" s="126" t="s">
        <x:v>3</x:v>
      </x:c>
      <x:c r="E15" s="52"/>
      <x:c r="F15" s="126" t="s">
        <x:v>84</x:v>
      </x:c>
      <x:c r="G15" s="126" t="s">
        <x:v>312</x:v>
      </x:c>
      <x:c r="H15" s="126" t="s">
        <x:v>318</x:v>
      </x:c>
      <x:c r="I15" s="126" t="s">
        <x:v>319</x:v>
      </x:c>
      <x:c r="J15" s="52"/>
      <x:c r="K15" s="52"/>
      <x:c r="L15" s="52"/>
      <x:c r="M15" s="52"/>
      <x:c r="N15" s="52"/>
    </x:row>
    <x:row r="16" ht="15.75" hidden="0" customHeight="1">
      <x:c r="A16" s="52" t="s">
        <x:v>328</x:v>
      </x:c>
      <x:c r="B16" s="69" t="n">
        <x:f aca="0">'P&amp;L'!$Z$9</x:f>
        <x:v>66622722.7790002</x:v>
      </x:c>
      <x:c r="C16" s="69" t="n">
        <x:f aca="0">'P&amp;L'!$AA$9</x:f>
        <x:v>468574734.2980967</x:v>
      </x:c>
      <x:c r="D16" s="52" t="s">
        <x:v>228</x:v>
      </x:c>
      <x:c r="E16" s="52"/>
      <x:c r="F16" s="127" t="s">
        <x:v>282</x:v>
      </x:c>
      <x:c r="G16" s="87" t="n">
        <x:f aca="0">Scenarios!B26</x:f>
        <x:v>836171017.8987226</x:v>
      </x:c>
      <x:c r="H16" s="87" t="n">
        <x:f aca="0">Scenarios!C26</x:f>
        <x:v>1655714897.9513483</x:v>
      </x:c>
      <x:c r="I16" s="87" t="n">
        <x:f aca="0">Scenarios!D26</x:f>
        <x:v>2718067570.453726</x:v>
      </x:c>
      <x:c r="J16" s="52"/>
      <x:c r="K16" s="52"/>
      <x:c r="L16" s="52"/>
      <x:c r="M16" s="52"/>
      <x:c r="N16" s="52"/>
    </x:row>
    <x:row r="17" ht="15" hidden="0" customHeight="1">
      <x:c r="A17" s="52" t="s">
        <x:v>329</x:v>
      </x:c>
      <x:c r="B17" s="69" t="n">
        <x:f aca="0">'P&amp;L'!$Z$19</x:f>
        <x:v>58018697.53143716</x:v>
      </x:c>
      <x:c r="C17" s="69" t="n">
        <x:f aca="0">'P&amp;L'!$AA$19</x:f>
        <x:v>98615688.17497241</x:v>
      </x:c>
      <x:c r="D17" s="52" t="s">
        <x:v>228</x:v>
      </x:c>
      <x:c r="E17" s="52"/>
      <x:c r="F17" s="52" t="s">
        <x:v>325</x:v>
      </x:c>
      <x:c r="G17" s="69" t="n">
        <x:f aca="0">Scenarios!B16</x:f>
        <x:v>46635905.94530013</x:v>
      </x:c>
      <x:c r="H17" s="69" t="n">
        <x:f aca="0">Scenarios!C16</x:f>
        <x:v>66622722.7790002</x:v>
      </x:c>
      <x:c r="I17" s="69" t="n">
        <x:f aca="0">Scenarios!D16</x:f>
        <x:v>86609539.61270025</x:v>
      </x:c>
      <x:c r="J17" s="52"/>
      <x:c r="K17" s="52"/>
      <x:c r="L17" s="52"/>
      <x:c r="M17" s="52"/>
      <x:c r="N17" s="52"/>
    </x:row>
    <x:row r="18" ht="15.75" hidden="0" customHeight="1">
      <x:c r="A18" s="127" t="s">
        <x:v>236</x:v>
      </x:c>
      <x:c r="B18" s="87" t="n">
        <x:f aca="0">'P&amp;L'!$Z$20+0</x:f>
        <x:v>8604025.24756305</x:v>
      </x:c>
      <x:c r="C18" s="87" t="n">
        <x:f aca="0">'P&amp;L'!$AA$20+0</x:f>
        <x:v>369959046.12312436</x:v>
      </x:c>
      <x:c r="D18" s="127" t="s">
        <x:v>228</x:v>
      </x:c>
      <x:c r="E18" s="52"/>
      <x:c r="F18" s="52" t="s">
        <x:v>326</x:v>
      </x:c>
      <x:c r="G18" s="69" t="n">
        <x:f aca="0">Scenarios!B20</x:f>
        <x:v>-18261872.070533603</x:v>
      </x:c>
      <x:c r="H18" s="69" t="n">
        <x:f aca="0">Scenarios!C20</x:f>
        <x:v>8604025.24756305</x:v>
      </x:c>
      <x:c r="I18" s="69" t="n">
        <x:f aca="0">Scenarios!D20</x:f>
        <x:v>35469922.5656597</x:v>
      </x:c>
      <x:c r="J18" s="52"/>
      <x:c r="K18" s="52"/>
      <x:c r="L18" s="52"/>
      <x:c r="M18" s="52"/>
      <x:c r="N18" s="52"/>
    </x:row>
    <x:row r="19" ht="15" hidden="0" customHeight="1">
      <x:c r="A19" s="52" t="s">
        <x:v>240</x:v>
      </x:c>
      <x:c r="B19" s="69" t="n">
        <x:f aca="0">'P&amp;L'!$Z$25</x:f>
        <x:v>294898.91794086806</x:v>
      </x:c>
      <x:c r="C19" s="69" t="n">
        <x:f aca="0">'P&amp;L'!$AA$25</x:f>
        <x:v>292767236.8984995</x:v>
      </x:c>
      <x:c r="D19" s="52" t="s">
        <x:v>228</x:v>
      </x:c>
      <x:c r="E19" s="52"/>
      <x:c r="F19" s="52" t="s">
        <x:v>268</x:v>
      </x:c>
      <x:c r="G19" s="69" t="n">
        <x:f aca="0">Scenarios!B22</x:f>
        <x:v>-28453837.36997087</x:v>
      </x:c>
      <x:c r="H19" s="69" t="n">
        <x:f aca="0">Scenarios!C22</x:f>
        <x:v>-3705101.082059129</x:v>
      </x:c>
      <x:c r="I19" s="69" t="n">
        <x:f aca="0">Scenarios!D22</x:f>
        <x:v>20112263.637056552</x:v>
      </x:c>
      <x:c r="J19" s="52"/>
      <x:c r="K19" s="52"/>
      <x:c r="L19" s="52"/>
      <x:c r="M19" s="52"/>
      <x:c r="N19" s="52"/>
    </x:row>
    <x:row r="20" ht="15" hidden="0" customHeight="1">
      <x:c r="A20" s="52" t="s">
        <x:v>259</x:v>
      </x:c>
      <x:c r="B20" s="69" t="n">
        <x:f aca="0">'Cash Flow'!$Z$19</x:f>
        <x:v>-3705101.082059129</x:v>
      </x:c>
      <x:c r="C20" s="69" t="n">
        <x:f aca="0">'Cash Flow'!$AA$19</x:f>
        <x:v>296767236.8984995</x:v>
      </x:c>
      <x:c r="D20" s="52" t="s">
        <x:v>330</x:v>
      </x:c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</x:row>
    <x:row r="21" ht="15" hidden="0" customHeight="1">
      <x:c r="A21" s="52" t="s">
        <x:v>308</x:v>
      </x:c>
      <x:c r="B21" s="69" t="n">
        <x:f aca="0">DCF!$B$20</x:f>
        <x:v>213096385.25030917</x:v>
      </x:c>
      <x:c r="C21" s="69"/>
      <x:c r="D21" s="52" t="s">
        <x:v>271</x:v>
      </x:c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</x:row>
    <x:row r="22" ht="15" hidden="0" customHeight="1">
      <x:c r="A22" s="52" t="s">
        <x:v>309</x:v>
      </x:c>
      <x:c r="B22" s="69" t="n">
        <x:f aca="0">DCF!$B$21</x:f>
        <x:v>1442618512.701039</x:v>
      </x:c>
      <x:c r="C22" s="69"/>
      <x:c r="D22" s="52" t="s">
        <x:v>271</x:v>
      </x:c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</x:row>
    <x:row r="23" ht="15.75" hidden="0" customHeight="1">
      <x:c r="A23" s="127" t="s">
        <x:v>282</x:v>
      </x:c>
      <x:c r="B23" s="87" t="n">
        <x:f aca="0">DCF!$B$22</x:f>
        <x:v>1655714897.9513483</x:v>
      </x:c>
      <x:c r="C23" s="87"/>
      <x:c r="D23" s="127" t="s">
        <x:v>271</x:v>
      </x:c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</x:row>
    <x:row r="24" ht="15" hidden="0" customHeight="1">
      <x:c r="A24" s="52" t="s">
        <x:v>331</x:v>
      </x:c>
      <x:c r="B24" s="69" t="n">
        <x:f aca="0">'P&amp;L'!$Z$15</x:f>
        <x:v>20000000</x:v>
      </x:c>
      <x:c r="C24" s="69" t="n">
        <x:f aca="0">'P&amp;L'!$AA$15</x:f>
        <x:v>40000000</x:v>
      </x:c>
      <x:c r="D24" s="52" t="s">
        <x:v>228</x:v>
      </x:c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</x:row>
    <x:row r="25" ht="15" hidden="0" customHeight="1">
      <x:c r="A25" s="52" t="s">
        <x:v>332</x:v>
      </x:c>
      <x:c r="B25" s="69" t="n">
        <x:f aca="0">IFERROR(B24/'Operating Model'!$Z$9,0)</x:f>
        <x:v>91.38517834783792</x:v>
      </x:c>
      <x:c r="C25" s="69" t="n">
        <x:f aca="0">IFERROR(C24/'Operating Model'!$AA$9,0)</x:f>
        <x:v>114.86608834177565</x:v>
      </x:c>
      <x:c r="D25" s="52" t="s">
        <x:v>333</x:v>
      </x:c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</x:row>
    <x:row r="26" ht="15" hidden="0" customHeight="1">
      <x:c r="A26" s="58" t="s">
        <x:v>334</x:v>
      </x:c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9"/>
      <x:c r="N26" s="59"/>
    </x:row>
    <x:row r="27" ht="15.75" hidden="0" customHeight="1">
      <x:c r="A27" s="126" t="s">
        <x:v>84</x:v>
      </x:c>
      <x:c r="B27" s="126" t="s">
        <x:v>2</x:v>
      </x:c>
      <x:c r="C27" s="126" t="s">
        <x:v>88</x:v>
      </x:c>
      <x:c r="D27" s="59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</x:row>
    <x:row r="28" ht="30" hidden="0" customHeight="1">
      <x:c r="A28" s="52" t="s">
        <x:v>335</x:v>
      </x:c>
      <x:c r="B28" s="98" t="n">
        <x:f aca="0">IF(COUNTIF('P&amp;L'!B20:Y20,"&gt;=0")=0,"Нет в горизонте",COUNTIF('P&amp;L'!B20:Y20,"&lt;0")+1)</x:f>
        <x:v>8</x:v>
      </x:c>
      <x:c r="C28" s="52" t="s">
        <x:v>336</x:v>
      </x:c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</x:row>
    <x:row r="29" ht="15" hidden="0" customHeight="1">
      <x:c r="A29" s="52" t="s">
        <x:v>337</x:v>
      </x:c>
      <x:c r="B29" s="98" t="n">
        <x:f aca="0">IF(COUNTIF('Cash Flow'!B20:Y20,"&gt;=0")=0,"Нет в горизонте",COUNTIF('Cash Flow'!B20:Y20,"&lt;0")+1)</x:f>
        <x:v>13</x:v>
      </x:c>
      <x:c r="C29" s="52" t="s">
        <x:v>338</x:v>
      </x:c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</x:row>
    <x:row r="30" ht="30" hidden="0" customHeight="1">
      <x:c r="A30" s="52" t="s">
        <x:v>339</x:v>
      </x:c>
      <x:c r="B30" s="98" t="n">
        <x:f aca="0">IF(COUNTIF('Cash Flow'!B23:Y23,"&gt;=0")=0,"Нет в горизонте",COUNTIF('Cash Flow'!B23:Y23,"&lt;0")+1)</x:f>
        <x:v>13</x:v>
      </x:c>
      <x:c r="C30" s="52" t="s">
        <x:v>340</x:v>
      </x:c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</x:row>
    <x:row r="31" ht="15" hidden="0" customHeight="1">
      <x:c r="A31" s="52" t="s">
        <x:v>310</x:v>
      </x:c>
      <x:c r="B31" s="79" t="n">
        <x:f aca="0">DCF!$B$23</x:f>
        <x:v>0.8712964499419689</x:v>
      </x:c>
      <x:c r="C31" s="52" t="s">
        <x:v>341</x:v>
      </x:c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</x:row>
    <x:row r="32" ht="13.5" hidden="0" customHeight="1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</x:row>
    <x:row r="33" ht="15.75" hidden="0" customHeight="1">
      <x:c r="A33" s="126" t="s">
        <x:v>342</x:v>
      </x:c>
      <x:c r="B33" s="126" t="s">
        <x:v>343</x:v>
      </x:c>
      <x:c r="C33" s="126" t="s">
        <x:v>344</x:v>
      </x:c>
      <x:c r="D33" s="59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</x:row>
    <x:row r="34" ht="15.75" hidden="0" customHeight="1">
      <x:c r="A34" s="52" t="s">
        <x:v>345</x:v>
      </x:c>
      <x:c r="B34" s="128" t="str">
        <x:f aca="0">IF(ABS(Assumptions!B94)&lt;=1,"OK","CHECK")</x:f>
        <x:v>OK</x:v>
      </x:c>
      <x:c r="C34" s="52" t="s">
        <x:v>346</x:v>
      </x:c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</x:row>
    <x:row r="35" ht="15.75" hidden="0" customHeight="1">
      <x:c r="A35" s="52" t="s">
        <x:v>347</x:v>
      </x:c>
      <x:c r="B35" s="128" t="str">
        <x:f aca="0">IF(ABS(Assumptions!B95)&lt;=1,"OK","CHECK")</x:f>
        <x:v>OK</x:v>
      </x:c>
      <x:c r="C35" s="52" t="s">
        <x:v>348</x:v>
      </x:c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</x:row>
    <x:row r="36" ht="15.75" hidden="0" customHeight="1">
      <x:c r="A36" s="52" t="s">
        <x:v>349</x:v>
      </x:c>
      <x:c r="B36" s="128" t="str">
        <x:f aca="0">IF(ABS(Assumptions!B100)&lt;=1,"OK","CHECK")</x:f>
        <x:v>OK</x:v>
      </x:c>
      <x:c r="C36" s="52" t="s">
        <x:v>350</x:v>
      </x:c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</x:row>
    <x:row r="37" ht="15.75" hidden="0" customHeight="1">
      <x:c r="A37" s="52" t="s">
        <x:v>351</x:v>
      </x:c>
      <x:c r="B37" s="128" t="str">
        <x:f aca="0">IF(ABS(Assumptions!B101)&lt;=1,"OK","CHECK")</x:f>
        <x:v>OK</x:v>
      </x:c>
      <x:c r="C37" s="52" t="s">
        <x:v>352</x:v>
      </x:c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</x:row>
    <x:row r="38" ht="13.5" hidden="0" customHeight="1">
      <x:c r="A38" s="52" t="s">
        <x:v>353</x:v>
      </x:c>
      <x:c r="B38" s="128" t="str">
        <x:f aca="0">IF(ABS(Assumptions!B96)&lt;=1,"OK","CHECK")</x:f>
        <x:v>OK</x:v>
      </x:c>
      <x:c r="C38" s="52" t="s">
        <x:v>354</x:v>
      </x:c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</x:row>
    <x:row r="39" ht="13.5" hidden="0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</x:row>
    <x:row r="40" ht="15" hidden="0" customHeight="1">
      <x:c r="A40" s="58" t="s">
        <x:v>355</x:v>
      </x:c>
      <x:c r="B40" s="58"/>
      <x:c r="C40" s="58"/>
      <x:c r="D40" s="58"/>
      <x:c r="E40" s="58"/>
      <x:c r="F40" s="58"/>
      <x:c r="G40" s="58"/>
      <x:c r="H40" s="58"/>
      <x:c r="I40" s="58"/>
      <x:c r="J40" s="52"/>
      <x:c r="K40" s="52"/>
      <x:c r="L40" s="52"/>
      <x:c r="M40" s="52"/>
      <x:c r="N40" s="52"/>
    </x:row>
    <x:row r="41" ht="15.75" hidden="0" customHeight="1">
      <x:c r="A41" s="129" t="s">
        <x:v>84</x:v>
      </x:c>
      <x:c r="B41" s="129" t="s">
        <x:v>356</x:v>
      </x:c>
      <x:c r="C41" s="129" t="s">
        <x:v>357</x:v>
      </x:c>
      <x:c r="D41" s="129" t="s">
        <x:v>358</x:v>
      </x:c>
      <x:c r="E41" s="129" t="s">
        <x:v>88</x:v>
      </x:c>
      <x:c r="F41" s="52"/>
      <x:c r="G41" s="52"/>
      <x:c r="H41" s="52"/>
      <x:c r="I41" s="52"/>
      <x:c r="J41" s="52"/>
      <x:c r="K41" s="52"/>
      <x:c r="L41" s="52"/>
      <x:c r="M41" s="52"/>
      <x:c r="N41" s="52"/>
    </x:row>
    <x:row r="42" ht="15" hidden="0" customHeight="1">
      <x:c r="A42" s="52" t="s">
        <x:v>359</x:v>
      </x:c>
      <x:c r="B42" s="130" t="n">
        <x:v>440376.986337229</x:v>
      </x:c>
      <x:c r="C42" s="131" t="n">
        <x:f aca="0">'Operating Model'!$AA$9</x:f>
        <x:v>348231.5849477082</x:v>
      </x:c>
      <x:c r="D42" s="88" t="n">
        <x:f aca="0">IFERROR(C42/B42-1,0)</x:f>
        <x:v>-0.20924209086384538</x:v>
      </x:c>
      <x:c r="E42" s="52" t="s">
        <x:v>360</x:v>
      </x:c>
      <x:c r="F42" s="52"/>
      <x:c r="G42" s="52"/>
      <x:c r="H42" s="52"/>
      <x:c r="I42" s="52"/>
      <x:c r="J42" s="52"/>
      <x:c r="K42" s="52"/>
      <x:c r="L42" s="52"/>
      <x:c r="M42" s="52"/>
      <x:c r="N42" s="52"/>
    </x:row>
    <x:row r="43" ht="15" hidden="0" customHeight="1">
      <x:c r="A43" s="52" t="s">
        <x:v>321</x:v>
      </x:c>
      <x:c r="B43" s="130" t="n">
        <x:v>289771.280305366</x:v>
      </x:c>
      <x:c r="C43" s="131" t="n">
        <x:f aca="0">'Operating Model'!$Y$18</x:f>
        <x:v>233478.0349527323</x:v>
      </x:c>
      <x:c r="D43" s="88" t="n">
        <x:f aca="0">IFERROR(C43/B43-1,0)</x:f>
        <x:v>-0.19426785599080376</x:v>
      </x:c>
      <x:c r="E43" s="52" t="s">
        <x:v>361</x:v>
      </x:c>
      <x:c r="F43" s="52"/>
      <x:c r="G43" s="52"/>
      <x:c r="H43" s="52"/>
      <x:c r="I43" s="52"/>
      <x:c r="J43" s="52"/>
      <x:c r="K43" s="52"/>
      <x:c r="L43" s="52"/>
      <x:c r="M43" s="52"/>
      <x:c r="N43" s="52"/>
    </x:row>
    <x:row r="44" ht="15" hidden="0" customHeight="1">
      <x:c r="A44" s="52" t="s">
        <x:v>362</x:v>
      </x:c>
      <x:c r="B44" s="130" t="n">
        <x:v>34356.565950143</x:v>
      </x:c>
      <x:c r="C44" s="131" t="n">
        <x:f aca="0">'Operating Model'!$Y$36</x:f>
        <x:v>18992.72092154978</x:v>
      </x:c>
      <x:c r="D44" s="88" t="n">
        <x:f aca="0">IFERROR(C44/B44-1,0)</x:f>
        <x:v>-0.44718802952799974</x:v>
      </x:c>
      <x:c r="E44" s="52" t="s">
        <x:v>363</x:v>
      </x:c>
      <x:c r="F44" s="52"/>
      <x:c r="G44" s="52"/>
      <x:c r="H44" s="52"/>
      <x:c r="I44" s="52"/>
      <x:c r="J44" s="52"/>
      <x:c r="K44" s="52"/>
      <x:c r="L44" s="52"/>
      <x:c r="M44" s="52"/>
      <x:c r="N44" s="52"/>
    </x:row>
    <x:row r="45" ht="15" hidden="0" customHeight="1">
      <x:c r="A45" s="52" t="s">
        <x:v>364</x:v>
      </x:c>
      <x:c r="B45" s="130" t="n">
        <x:v>31294.8854615422</x:v>
      </x:c>
      <x:c r="C45" s="131" t="n">
        <x:f aca="0">'Operating Model'!$Y$44</x:f>
        <x:v>15438.407945972587</x:v>
      </x:c>
      <x:c r="D45" s="88" t="n">
        <x:f aca="0">IFERROR(C45/B45-1,0)</x:f>
        <x:v>-0.5066795190880438</x:v>
      </x:c>
      <x:c r="E45" s="52" t="s">
        <x:v>363</x:v>
      </x:c>
      <x:c r="F45" s="52"/>
      <x:c r="G45" s="52"/>
      <x:c r="H45" s="52"/>
      <x:c r="I45" s="52"/>
      <x:c r="J45" s="52"/>
      <x:c r="K45" s="52"/>
      <x:c r="L45" s="52"/>
      <x:c r="M45" s="52"/>
      <x:c r="N45" s="52"/>
    </x:row>
    <x:row r="46" ht="15" hidden="0" customHeight="1">
      <x:c r="A46" s="52" t="s">
        <x:v>365</x:v>
      </x:c>
      <x:c r="B46" s="132" t="n">
        <x:v>969045101.254967</x:v>
      </x:c>
      <x:c r="C46" s="133" t="n">
        <x:f aca="0">'P&amp;L'!$AA$9</x:f>
        <x:v>468574734.2980967</x:v>
      </x:c>
      <x:c r="D46" s="88" t="n">
        <x:f aca="0">IFERROR(C46/B46-1,0)</x:f>
        <x:v>-0.5164572487996002</x:v>
      </x:c>
      <x:c r="E46" s="52" t="s">
        <x:v>366</x:v>
      </x:c>
      <x:c r="F46" s="52"/>
      <x:c r="G46" s="52"/>
      <x:c r="H46" s="52"/>
      <x:c r="I46" s="52"/>
      <x:c r="J46" s="52"/>
      <x:c r="K46" s="52"/>
      <x:c r="L46" s="52"/>
      <x:c r="M46" s="52"/>
      <x:c r="N46" s="52"/>
    </x:row>
    <x:row r="47" ht="30" hidden="0" customHeight="1">
      <x:c r="A47" s="52" t="s">
        <x:v>367</x:v>
      </x:c>
      <x:c r="B47" s="132" t="n">
        <x:v>82307481.2819454</x:v>
      </x:c>
      <x:c r="C47" s="133" t="n">
        <x:f aca="0">'P&amp;L'!$AA$19</x:f>
        <x:v>98615688.17497241</x:v>
      </x:c>
      <x:c r="D47" s="88" t="n">
        <x:f aca="0">IFERROR(C47/B47-1,0)</x:f>
        <x:v>0.1981376010907565</x:v>
      </x:c>
      <x:c r="E47" s="52" t="s">
        <x:v>368</x:v>
      </x:c>
      <x:c r="F47" s="52"/>
      <x:c r="G47" s="52"/>
      <x:c r="H47" s="52"/>
      <x:c r="I47" s="52"/>
      <x:c r="J47" s="52"/>
      <x:c r="K47" s="52"/>
      <x:c r="L47" s="52"/>
      <x:c r="M47" s="52"/>
      <x:c r="N47" s="52"/>
    </x:row>
    <x:row r="48" ht="15" hidden="0" customHeight="1">
      <x:c r="A48" s="52" t="s">
        <x:v>369</x:v>
      </x:c>
      <x:c r="B48" s="132" t="n">
        <x:v>886737619.973022</x:v>
      </x:c>
      <x:c r="C48" s="133" t="n">
        <x:f aca="0">'P&amp;L'!$AA$20</x:f>
        <x:v>369959046.12312436</x:v>
      </x:c>
      <x:c r="D48" s="88" t="n">
        <x:f aca="0">IFERROR(C48/B48-1,0)</x:f>
        <x:v>-0.5827863419910165</x:v>
      </x:c>
      <x:c r="E48" s="52" t="s">
        <x:v>370</x:v>
      </x:c>
      <x:c r="F48" s="52"/>
      <x:c r="G48" s="52"/>
      <x:c r="H48" s="52"/>
      <x:c r="I48" s="52"/>
      <x:c r="J48" s="52"/>
      <x:c r="K48" s="52"/>
      <x:c r="L48" s="52"/>
      <x:c r="M48" s="52"/>
      <x:c r="N48" s="52"/>
      <x:c r="W48" s="99"/>
      <x:c r="X48" s="99"/>
      <x:c r="Y48" s="99"/>
      <x:c r="Z48" s="99"/>
    </x:row>
    <x:row r="49" ht="15" hidden="0" customHeight="1">
      <x:c r="A49" s="52" t="s">
        <x:v>282</x:v>
      </x:c>
      <x:c r="B49" s="132" t="n">
        <x:v>4013664841.82851</x:v>
      </x:c>
      <x:c r="C49" s="133" t="n">
        <x:f aca="0">DCF!$B$22</x:f>
        <x:v>1655714897.9513483</x:v>
      </x:c>
      <x:c r="D49" s="88" t="n">
        <x:f aca="0">IFERROR(C49/B49-1,0)</x:f>
        <x:v>-0.5874805288432972</x:v>
      </x:c>
      <x:c r="E49" s="52" t="s">
        <x:v>371</x:v>
      </x:c>
      <x:c r="F49" s="52"/>
      <x:c r="G49" s="52"/>
      <x:c r="H49" s="52"/>
      <x:c r="I49" s="52"/>
      <x:c r="J49" s="52"/>
      <x:c r="K49" s="52"/>
      <x:c r="L49" s="52"/>
      <x:c r="M49" s="52"/>
      <x:c r="N49" s="52"/>
      <x:c r="W49" s="99"/>
      <x:c r="X49" s="99"/>
      <x:c r="Y49" s="99"/>
      <x:c r="Z49" s="99"/>
    </x:row>
    <x:row r="50" ht="13.5" hidden="0" customHeight="1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W50" s="99"/>
      <x:c r="X50" s="99"/>
      <x:c r="Y50" s="99"/>
      <x:c r="Z50" s="99"/>
    </x:row>
    <x:row r="51" ht="13.5" hidden="0" customHeight="1">
      <x:c r="W51" s="99"/>
      <x:c r="X51" s="99"/>
      <x:c r="Y51" s="99"/>
      <x:c r="Z51" s="99"/>
    </x:row>
    <x:row r="52" ht="13.5" hidden="0" customHeight="1">
      <x:c r="W52" s="99"/>
      <x:c r="X52" s="101" t="s">
        <x:v>84</x:v>
      </x:c>
      <x:c r="Y52" s="101" t="s">
        <x:v>144</x:v>
      </x:c>
      <x:c r="Z52" s="101" t="s">
        <x:v>145</x:v>
      </x:c>
    </x:row>
    <x:row r="53" ht="13.5" hidden="0" customHeight="1">
      <x:c r="W53" s="99"/>
      <x:c r="X53" s="134" t="s">
        <x:v>328</x:v>
      </x:c>
      <x:c r="Y53" s="135" t="n">
        <x:f aca="0">B16/1000000</x:f>
        <x:v>66.6227227790002</x:v>
      </x:c>
      <x:c r="Z53" s="135" t="n">
        <x:f aca="0">C16/1000000</x:f>
        <x:v>468.5747342980967</x:v>
      </x:c>
    </x:row>
    <x:row r="54" ht="13.5" hidden="0" customHeight="1">
      <x:c r="W54" s="99"/>
      <x:c r="X54" s="134" t="s">
        <x:v>329</x:v>
      </x:c>
      <x:c r="Y54" s="135" t="n">
        <x:f aca="0">B17/1000000</x:f>
        <x:v>58.018697531437155</x:v>
      </x:c>
      <x:c r="Z54" s="135" t="n">
        <x:f aca="0">C17/1000000</x:f>
        <x:v>98.61568817497242</x:v>
      </x:c>
    </x:row>
    <x:row r="55" ht="13.5" hidden="0" customHeight="1">
      <x:c r="W55" s="99"/>
      <x:c r="X55" s="134" t="s">
        <x:v>236</x:v>
      </x:c>
      <x:c r="Y55" s="135" t="n">
        <x:f aca="0">B18/1000000</x:f>
        <x:v>8.60402524756305</x:v>
      </x:c>
      <x:c r="Z55" s="135" t="n">
        <x:f aca="0">C18/1000000</x:f>
        <x:v>369.9590461231244</x:v>
      </x:c>
    </x:row>
    <x:row r="56" ht="13.5" hidden="0" customHeight="1">
      <x:c r="W56" s="99"/>
      <x:c r="X56" s="134" t="s">
        <x:v>240</x:v>
      </x:c>
      <x:c r="Y56" s="135" t="n">
        <x:f aca="0">B19/1000000</x:f>
        <x:v>0.2948989179408681</x:v>
      </x:c>
      <x:c r="Z56" s="135" t="n">
        <x:f aca="0">C19/1000000</x:f>
        <x:v>292.7672368984995</x:v>
      </x:c>
    </x:row>
    <x:row r="57" ht="13.5" hidden="0" customHeight="1">
      <x:c r="W57" s="99"/>
      <x:c r="X57" s="134" t="s">
        <x:v>259</x:v>
      </x:c>
      <x:c r="Y57" s="135" t="n">
        <x:f aca="0">B20/1000000</x:f>
        <x:v>-3.7051010820591292</x:v>
      </x:c>
      <x:c r="Z57" s="135" t="n">
        <x:f aca="0">C20/1000000</x:f>
        <x:v>296.7672368984995</x:v>
      </x:c>
    </x:row>
    <x:row r="58" ht="13.5" hidden="0" customHeight="1">
      <x:c r="W58" s="99"/>
      <x:c r="X58" s="99"/>
      <x:c r="Y58" s="99"/>
      <x:c r="Z58" s="99"/>
    </x:row>
    <x:row r="59" ht="13.5" hidden="0" customHeight="1">
      <x:c r="W59" s="99"/>
      <x:c r="X59" s="99"/>
      <x:c r="Y59" s="99"/>
      <x:c r="Z59" s="99"/>
    </x:row>
    <x:row r="60" ht="13.5" hidden="0" customHeight="1">
      <x:c r="W60" s="99"/>
      <x:c r="X60" s="99"/>
      <x:c r="Y60" s="99"/>
      <x:c r="Z60" s="99"/>
    </x:row>
    <x:row r="61" ht="13.5" hidden="0" customHeight="1">
      <x:c r="W61" s="99"/>
      <x:c r="X61" s="99"/>
      <x:c r="Y61" s="99"/>
      <x:c r="Z61" s="99"/>
    </x:row>
    <x:row r="62" ht="13.5" hidden="0" customHeight="1">
      <x:c r="W62" s="99"/>
      <x:c r="X62" s="99"/>
      <x:c r="Y62" s="99"/>
      <x:c r="Z62" s="99"/>
    </x:row>
    <x:row r="63" ht="13.5" hidden="0" customHeight="1">
      <x:c r="W63" s="99"/>
      <x:c r="X63" s="99"/>
      <x:c r="Y63" s="99"/>
      <x:c r="Z63" s="99"/>
    </x:row>
    <x:row r="64" ht="13.5" hidden="0" customHeight="1">
      <x:c r="W64" s="99"/>
      <x:c r="X64" s="99"/>
      <x:c r="Y64" s="99"/>
      <x:c r="Z64" s="99"/>
    </x:row>
    <x:row r="65" ht="13.5" hidden="0" customHeight="1"/>
    <x:row r="66" ht="13.5" hidden="0" customHeight="1"/>
    <x:row r="67" ht="13.5" hidden="0" customHeight="1"/>
    <x:row r="68" ht="13.5" hidden="0" customHeight="1"/>
    <x:row r="69" ht="13.5" hidden="0" customHeight="1"/>
    <x:row r="70" ht="13.5" hidden="0" customHeight="1"/>
    <x:row r="71" ht="13.5" hidden="0" customHeight="1"/>
    <x:row r="72" ht="13.5" hidden="0" customHeight="1"/>
  </x:sheetData>
  <x:mergeCells>
    <x:mergeCell ref="A4:C4"/>
    <x:mergeCell ref="D4:F4"/>
    <x:mergeCell ref="G4:I4"/>
    <x:mergeCell ref="J4:L4"/>
    <x:mergeCell ref="A5:C7"/>
    <x:mergeCell ref="D5:F7"/>
    <x:mergeCell ref="G5:I7"/>
    <x:mergeCell ref="J5:L7"/>
    <x:mergeCell ref="A9:C9"/>
    <x:mergeCell ref="D9:F9"/>
    <x:mergeCell ref="G9:I9"/>
    <x:mergeCell ref="J9:L9"/>
    <x:mergeCell ref="A10:C12"/>
    <x:mergeCell ref="D10:F12"/>
    <x:mergeCell ref="G10:I12"/>
    <x:mergeCell ref="J10:L12"/>
  </x:mergeCells>
  <x:pageMargins left="0.7" right="0.7" top="0.75" bottom="0.75" header="0.3" footer="0.3"/>
  <x:drawing xmlns:r="http://schemas.openxmlformats.org/officeDocument/2006/relationships" r:id="R780952f222184bbe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6" hidden="0" customWidth="1"/>
    <x:col min="2" max="2" width="39" hidden="0" customWidth="1"/>
    <x:col min="3" max="3" width="12" hidden="0" customWidth="1"/>
    <x:col min="4" max="4" width="17" hidden="0" customWidth="1"/>
    <x:col min="5" max="5" width="13" hidden="0" customWidth="1"/>
    <x:col min="6" max="6" width="31" hidden="0" customWidth="1"/>
    <x:col min="7" max="7" width="55" hidden="0" customWidth="1"/>
  </x:cols>
  <x:sheetData>
    <x:row r="1" ht="28" hidden="0" customHeight="1">
      <x:c r="A1" s="136" t="s">
        <x:v>372</x:v>
      </x:c>
      <x:c r="B1" s="136"/>
      <x:c r="C1" s="136"/>
      <x:c r="D1" s="136"/>
      <x:c r="E1" s="136"/>
      <x:c r="F1" s="136"/>
      <x:c r="G1" s="136"/>
    </x:row>
    <x:row r="2" ht="34" hidden="0" customHeight="1">
      <x:c r="A2" s="137" t="s">
        <x:v>373</x:v>
      </x:c>
      <x:c r="B2" s="137"/>
      <x:c r="C2" s="137"/>
      <x:c r="D2" s="137"/>
      <x:c r="E2" s="137"/>
      <x:c r="F2" s="137"/>
      <x:c r="G2" s="137"/>
    </x:row>
    <x:row r="3" ht="34" hidden="0" customHeight="1">
      <x:c r="A3" s="138" t="s">
        <x:v>374</x:v>
      </x:c>
      <x:c r="B3" s="138"/>
      <x:c r="C3" s="138"/>
      <x:c r="D3" s="138"/>
      <x:c r="E3" s="138"/>
      <x:c r="F3" s="138"/>
      <x:c r="G3" s="138"/>
    </x:row>
    <x:row r="4" ht="30" hidden="0" customHeight="1">
      <x:c r="A4" s="139" t="s">
        <x:v>375</x:v>
      </x:c>
      <x:c r="B4" s="139" t="s">
        <x:v>104</x:v>
      </x:c>
      <x:c r="C4" s="139" t="s">
        <x:v>376</x:v>
      </x:c>
      <x:c r="D4" s="139" t="s">
        <x:v>377</x:v>
      </x:c>
      <x:c r="E4" s="139" t="s">
        <x:v>343</x:v>
      </x:c>
      <x:c r="F4" s="139" t="s">
        <x:v>378</x:v>
      </x:c>
      <x:c r="G4" s="139" t="s">
        <x:v>88</x:v>
      </x:c>
    </x:row>
    <x:row r="5" ht="15" hidden="0">
      <x:c r="A5" s="140" t="s">
        <x:v>379</x:v>
      </x:c>
      <x:c r="B5" s="140" t="s">
        <x:v>4</x:v>
      </x:c>
      <x:c r="C5" s="141" t="s">
        <x:v>380</x:v>
      </x:c>
      <x:c r="D5" s="142" t="n">
        <x:f aca="0">IF(Assumptions!B4="","",Assumptions!B4)</x:f>
        <x:v>13800000</x:v>
      </x:c>
      <x:c r="E5" s="143" t="s">
        <x:v>381</x:v>
      </x:c>
      <x:c r="F5" s="140" t="s">
        <x:v>382</x:v>
      </x:c>
      <x:c r="G5" s="140" t="s">
        <x:v>383</x:v>
      </x:c>
    </x:row>
    <x:row r="6" ht="22.350000381469727" hidden="0">
      <x:c r="A6" s="140" t="s">
        <x:v>379</x:v>
      </x:c>
      <x:c r="B6" s="140" t="s">
        <x:v>6</x:v>
      </x:c>
      <x:c r="C6" s="141" t="s">
        <x:v>384</x:v>
      </x:c>
      <x:c r="D6" s="142" t="n">
        <x:f aca="0">IF(Assumptions!B5="","",Assumptions!B5)</x:f>
        <x:v>4543500</x:v>
      </x:c>
      <x:c r="E6" s="144" t="s">
        <x:v>385</x:v>
      </x:c>
      <x:c r="F6" s="140" t="s">
        <x:v>0</x:v>
      </x:c>
      <x:c r="G6" s="140" t="s">
        <x:v>386</x:v>
      </x:c>
    </x:row>
    <x:row r="7" ht="22.350000381469727" hidden="0">
      <x:c r="A7" s="140" t="s">
        <x:v>379</x:v>
      </x:c>
      <x:c r="B7" s="140" t="s">
        <x:v>8</x:v>
      </x:c>
      <x:c r="C7" s="141" t="s">
        <x:v>387</x:v>
      </x:c>
      <x:c r="D7" s="142" t="n">
        <x:f aca="0">IF(Assumptions!B6="","",Assumptions!B6)</x:f>
        <x:v>0.04</x:v>
      </x:c>
      <x:c r="E7" s="144" t="s">
        <x:v>385</x:v>
      </x:c>
      <x:c r="F7" s="140" t="s">
        <x:v>0</x:v>
      </x:c>
      <x:c r="G7" s="140" t="s">
        <x:v>386</x:v>
      </x:c>
    </x:row>
    <x:row r="8" ht="15" hidden="0">
      <x:c r="A8" s="140" t="s">
        <x:v>379</x:v>
      </x:c>
      <x:c r="B8" s="140" t="s">
        <x:v>10</x:v>
      </x:c>
      <x:c r="C8" s="141" t="s">
        <x:v>388</x:v>
      </x:c>
      <x:c r="D8" s="142" t="n">
        <x:f aca="0">IF(Assumptions!B7="","",Assumptions!B7)</x:f>
        <x:v>181740</x:v>
      </x:c>
      <x:c r="E8" s="145" t="s">
        <x:v>389</x:v>
      </x:c>
      <x:c r="F8" s="140" t="s">
        <x:v>0</x:v>
      </x:c>
      <x:c r="G8" s="140" t="s">
        <x:v>390</x:v>
      </x:c>
    </x:row>
    <x:row r="9" ht="15" hidden="0">
      <x:c r="A9" s="140" t="s">
        <x:v>379</x:v>
      </x:c>
      <x:c r="B9" s="140" t="s">
        <x:v>11</x:v>
      </x:c>
      <x:c r="C9" s="141" t="s">
        <x:v>391</x:v>
      </x:c>
      <x:c r="D9" s="142" t="n">
        <x:f aca="0">IF(Assumptions!B8="","",Assumptions!B8)</x:f>
        <x:v>10773.0073196418</x:v>
      </x:c>
      <x:c r="E9" s="145" t="s">
        <x:v>389</x:v>
      </x:c>
      <x:c r="F9" s="140" t="s">
        <x:v>119</x:v>
      </x:c>
      <x:c r="G9" s="140" t="s">
        <x:v>390</x:v>
      </x:c>
    </x:row>
    <x:row r="10" ht="22.350000381469727" hidden="0">
      <x:c r="A10" s="140" t="s">
        <x:v>379</x:v>
      </x:c>
      <x:c r="B10" s="140" t="s">
        <x:v>12</x:v>
      </x:c>
      <x:c r="C10" s="141" t="s">
        <x:v>392</x:v>
      </x:c>
      <x:c r="D10" s="142" t="n">
        <x:f aca="0">IF(Assumptions!B9="","",Assumptions!B9)</x:f>
        <x:v>2200</x:v>
      </x:c>
      <x:c r="E10" s="144" t="s">
        <x:v>385</x:v>
      </x:c>
      <x:c r="F10" s="140" t="s">
        <x:v>119</x:v>
      </x:c>
      <x:c r="G10" s="140" t="s">
        <x:v>386</x:v>
      </x:c>
    </x:row>
    <x:row r="11" ht="22.350000381469727" hidden="0">
      <x:c r="A11" s="140" t="s">
        <x:v>379</x:v>
      </x:c>
      <x:c r="B11" s="140" t="s">
        <x:v>13</x:v>
      </x:c>
      <x:c r="C11" s="141" t="s">
        <x:v>393</x:v>
      </x:c>
      <x:c r="D11" s="142" t="n">
        <x:f aca="0">IF(Assumptions!B10="","",Assumptions!B10)</x:f>
        <x:v>0.06</x:v>
      </x:c>
      <x:c r="E11" s="144" t="s">
        <x:v>385</x:v>
      </x:c>
      <x:c r="F11" s="140" t="s">
        <x:v>394</x:v>
      </x:c>
      <x:c r="G11" s="140" t="s">
        <x:v>386</x:v>
      </x:c>
    </x:row>
    <x:row r="12" ht="22.350000381469727" hidden="0">
      <x:c r="A12" s="140" t="s">
        <x:v>379</x:v>
      </x:c>
      <x:c r="B12" s="140" t="s">
        <x:v>14</x:v>
      </x:c>
      <x:c r="C12" s="141" t="s">
        <x:v>395</x:v>
      </x:c>
      <x:c r="D12" s="142" t="n">
        <x:f aca="0">IF(Assumptions!B11="","",Assumptions!B11)</x:f>
        <x:v>0.025</x:v>
      </x:c>
      <x:c r="E12" s="144" t="s">
        <x:v>385</x:v>
      </x:c>
      <x:c r="F12" s="140" t="s">
        <x:v>119</x:v>
      </x:c>
      <x:c r="G12" s="140" t="s">
        <x:v>386</x:v>
      </x:c>
    </x:row>
    <x:row r="13" ht="22.350000381469727" hidden="0">
      <x:c r="A13" s="140" t="s">
        <x:v>379</x:v>
      </x:c>
      <x:c r="B13" s="140" t="s">
        <x:v>15</x:v>
      </x:c>
      <x:c r="C13" s="141" t="s">
        <x:v>396</x:v>
      </x:c>
      <x:c r="D13" s="142" t="n">
        <x:f aca="0">IF(Assumptions!B12="","",Assumptions!B12)</x:f>
        <x:v>0.8</x:v>
      </x:c>
      <x:c r="E13" s="144" t="s">
        <x:v>385</x:v>
      </x:c>
      <x:c r="F13" s="140" t="s">
        <x:v>119</x:v>
      </x:c>
      <x:c r="G13" s="140" t="s">
        <x:v>386</x:v>
      </x:c>
    </x:row>
    <x:row r="14" ht="22.350000381469727" hidden="0">
      <x:c r="A14" s="140" t="s">
        <x:v>379</x:v>
      </x:c>
      <x:c r="B14" s="140" t="s">
        <x:v>16</x:v>
      </x:c>
      <x:c r="C14" s="141" t="s">
        <x:v>397</x:v>
      </x:c>
      <x:c r="D14" s="142" t="n">
        <x:f aca="0">IF(Assumptions!B13="","",Assumptions!B13)</x:f>
        <x:v>0.65</x:v>
      </x:c>
      <x:c r="E14" s="144" t="s">
        <x:v>385</x:v>
      </x:c>
      <x:c r="F14" s="140" t="s">
        <x:v>119</x:v>
      </x:c>
      <x:c r="G14" s="140" t="s">
        <x:v>386</x:v>
      </x:c>
    </x:row>
    <x:row r="15" ht="22.350000381469727" hidden="0">
      <x:c r="A15" s="140" t="s">
        <x:v>379</x:v>
      </x:c>
      <x:c r="B15" s="140" t="s">
        <x:v>17</x:v>
      </x:c>
      <x:c r="C15" s="141" t="s">
        <x:v>398</x:v>
      </x:c>
      <x:c r="D15" s="142" t="n">
        <x:f aca="0">IF(Assumptions!B14="","",Assumptions!B14)</x:f>
        <x:v>0.08</x:v>
      </x:c>
      <x:c r="E15" s="144" t="s">
        <x:v>385</x:v>
      </x:c>
      <x:c r="F15" s="140" t="s">
        <x:v>119</x:v>
      </x:c>
      <x:c r="G15" s="140" t="s">
        <x:v>386</x:v>
      </x:c>
    </x:row>
    <x:row r="16" ht="22.350000381469727" hidden="0">
      <x:c r="A16" s="140" t="s">
        <x:v>379</x:v>
      </x:c>
      <x:c r="B16" s="140" t="s">
        <x:v>18</x:v>
      </x:c>
      <x:c r="C16" s="141" t="s">
        <x:v>399</x:v>
      </x:c>
      <x:c r="D16" s="142" t="n">
        <x:f aca="0">IF(Assumptions!B15="","",Assumptions!B15)</x:f>
        <x:v>0.05</x:v>
      </x:c>
      <x:c r="E16" s="144" t="s">
        <x:v>385</x:v>
      </x:c>
      <x:c r="F16" s="140" t="s">
        <x:v>119</x:v>
      </x:c>
      <x:c r="G16" s="140" t="s">
        <x:v>386</x:v>
      </x:c>
    </x:row>
    <x:row r="17" ht="22.350000381469727" hidden="0">
      <x:c r="A17" s="140" t="s">
        <x:v>379</x:v>
      </x:c>
      <x:c r="B17" s="140" t="s">
        <x:v>19</x:v>
      </x:c>
      <x:c r="C17" s="141" t="s">
        <x:v>400</x:v>
      </x:c>
      <x:c r="D17" s="142" t="n">
        <x:f aca="0">IF(Assumptions!B16="","",Assumptions!B16)</x:f>
        <x:v>10</x:v>
      </x:c>
      <x:c r="E17" s="144" t="s">
        <x:v>385</x:v>
      </x:c>
      <x:c r="F17" s="140" t="s">
        <x:v>119</x:v>
      </x:c>
      <x:c r="G17" s="140" t="s">
        <x:v>386</x:v>
      </x:c>
    </x:row>
    <x:row r="18" ht="22.350000381469727" hidden="0">
      <x:c r="A18" s="140" t="s">
        <x:v>379</x:v>
      </x:c>
      <x:c r="B18" s="140" t="s">
        <x:v>20</x:v>
      </x:c>
      <x:c r="C18" s="141" t="s">
        <x:v>401</x:v>
      </x:c>
      <x:c r="D18" s="142" t="n">
        <x:f aca="0">IF(Assumptions!B17="","",Assumptions!B17)</x:f>
        <x:v>15</x:v>
      </x:c>
      <x:c r="E18" s="144" t="s">
        <x:v>385</x:v>
      </x:c>
      <x:c r="F18" s="140" t="s">
        <x:v>119</x:v>
      </x:c>
      <x:c r="G18" s="140" t="s">
        <x:v>386</x:v>
      </x:c>
    </x:row>
    <x:row r="19" ht="22.350000381469727" hidden="0">
      <x:c r="A19" s="140" t="s">
        <x:v>379</x:v>
      </x:c>
      <x:c r="B19" s="140" t="s">
        <x:v>21</x:v>
      </x:c>
      <x:c r="C19" s="141" t="s">
        <x:v>402</x:v>
      </x:c>
      <x:c r="D19" s="142" t="n">
        <x:f aca="0">IF(Assumptions!B18="","",Assumptions!B18)</x:f>
        <x:v>0.25</x:v>
      </x:c>
      <x:c r="E19" s="144" t="s">
        <x:v>385</x:v>
      </x:c>
      <x:c r="F19" s="140" t="s">
        <x:v>394</x:v>
      </x:c>
      <x:c r="G19" s="140" t="s">
        <x:v>386</x:v>
      </x:c>
    </x:row>
    <x:row r="20" ht="22.350000381469727" hidden="0">
      <x:c r="A20" s="140" t="s">
        <x:v>379</x:v>
      </x:c>
      <x:c r="B20" s="140" t="s">
        <x:v>23</x:v>
      </x:c>
      <x:c r="C20" s="141" t="s">
        <x:v>403</x:v>
      </x:c>
      <x:c r="D20" s="142" t="n">
        <x:f aca="0">IF(Assumptions!B19="","",Assumptions!B19)</x:f>
        <x:v>0.5</x:v>
      </x:c>
      <x:c r="E20" s="144" t="s">
        <x:v>385</x:v>
      </x:c>
      <x:c r="F20" s="140" t="s">
        <x:v>119</x:v>
      </x:c>
      <x:c r="G20" s="140" t="s">
        <x:v>386</x:v>
      </x:c>
    </x:row>
    <x:row r="21" ht="22.350000381469727" hidden="0">
      <x:c r="A21" s="140" t="s">
        <x:v>379</x:v>
      </x:c>
      <x:c r="B21" s="140" t="s">
        <x:v>24</x:v>
      </x:c>
      <x:c r="C21" s="141" t="s">
        <x:v>404</x:v>
      </x:c>
      <x:c r="D21" s="142" t="n">
        <x:f aca="0">IF(Assumptions!B20="","",Assumptions!B20)</x:f>
        <x:v>0.1</x:v>
      </x:c>
      <x:c r="E21" s="144" t="s">
        <x:v>385</x:v>
      </x:c>
      <x:c r="F21" s="140" t="s">
        <x:v>119</x:v>
      </x:c>
      <x:c r="G21" s="140" t="s">
        <x:v>386</x:v>
      </x:c>
    </x:row>
    <x:row r="22" ht="22.350000381469727" hidden="0">
      <x:c r="A22" s="140" t="s">
        <x:v>379</x:v>
      </x:c>
      <x:c r="B22" s="140" t="s">
        <x:v>25</x:v>
      </x:c>
      <x:c r="C22" s="141" t="s">
        <x:v>405</x:v>
      </x:c>
      <x:c r="D22" s="142" t="n">
        <x:f aca="0">IF(Assumptions!B21="","",Assumptions!B21)</x:f>
        <x:v>0.3</x:v>
      </x:c>
      <x:c r="E22" s="144" t="s">
        <x:v>385</x:v>
      </x:c>
      <x:c r="F22" s="140" t="s">
        <x:v>119</x:v>
      </x:c>
      <x:c r="G22" s="140" t="s">
        <x:v>386</x:v>
      </x:c>
    </x:row>
    <x:row r="23" ht="22.350000381469727" hidden="0">
      <x:c r="A23" s="140" t="s">
        <x:v>379</x:v>
      </x:c>
      <x:c r="B23" s="140" t="s">
        <x:v>26</x:v>
      </x:c>
      <x:c r="C23" s="141" t="s">
        <x:v>406</x:v>
      </x:c>
      <x:c r="D23" s="142" t="n">
        <x:f aca="0">IF(Assumptions!B22="","",Assumptions!B22)</x:f>
        <x:v>3</x:v>
      </x:c>
      <x:c r="E23" s="144" t="s">
        <x:v>385</x:v>
      </x:c>
      <x:c r="F23" s="140" t="s">
        <x:v>119</x:v>
      </x:c>
      <x:c r="G23" s="140" t="s">
        <x:v>386</x:v>
      </x:c>
    </x:row>
    <x:row r="24" ht="22.350000381469727" hidden="0">
      <x:c r="A24" s="140" t="s">
        <x:v>379</x:v>
      </x:c>
      <x:c r="B24" s="140" t="s">
        <x:v>27</x:v>
      </x:c>
      <x:c r="C24" s="141" t="s">
        <x:v>407</x:v>
      </x:c>
      <x:c r="D24" s="142" t="n">
        <x:f aca="0">IF(Assumptions!B23="","",Assumptions!B23)</x:f>
        <x:v>1</x:v>
      </x:c>
      <x:c r="E24" s="143" t="s">
        <x:v>381</x:v>
      </x:c>
      <x:c r="F24" s="140" t="s">
        <x:v>382</x:v>
      </x:c>
      <x:c r="G24" s="140" t="s">
        <x:v>408</x:v>
      </x:c>
    </x:row>
    <x:row r="25" ht="22.350000381469727" hidden="0">
      <x:c r="A25" s="140" t="s">
        <x:v>379</x:v>
      </x:c>
      <x:c r="B25" s="140" t="s">
        <x:v>29</x:v>
      </x:c>
      <x:c r="C25" s="141" t="s">
        <x:v>409</x:v>
      </x:c>
      <x:c r="D25" s="142" t="n">
        <x:f aca="0">IF(Assumptions!B24="","",Assumptions!B24)</x:f>
        <x:v>0.55</x:v>
      </x:c>
      <x:c r="E25" s="144" t="s">
        <x:v>385</x:v>
      </x:c>
      <x:c r="F25" s="140" t="s">
        <x:v>119</x:v>
      </x:c>
      <x:c r="G25" s="140" t="s">
        <x:v>386</x:v>
      </x:c>
    </x:row>
    <x:row r="26" ht="22.350000381469727" hidden="0">
      <x:c r="A26" s="140" t="s">
        <x:v>379</x:v>
      </x:c>
      <x:c r="B26" s="140" t="s">
        <x:v>30</x:v>
      </x:c>
      <x:c r="C26" s="141" t="s">
        <x:v>410</x:v>
      </x:c>
      <x:c r="D26" s="142" t="n">
        <x:f aca="0">IF(Assumptions!B25="","",Assumptions!B25)</x:f>
        <x:v>0.45</x:v>
      </x:c>
      <x:c r="E26" s="144" t="s">
        <x:v>385</x:v>
      </x:c>
      <x:c r="F26" s="140" t="s">
        <x:v>119</x:v>
      </x:c>
      <x:c r="G26" s="140" t="s">
        <x:v>386</x:v>
      </x:c>
    </x:row>
    <x:row r="27" ht="22.350000381469727" hidden="0">
      <x:c r="A27" s="140" t="s">
        <x:v>379</x:v>
      </x:c>
      <x:c r="B27" s="140" t="s">
        <x:v>31</x:v>
      </x:c>
      <x:c r="C27" s="141" t="s">
        <x:v>411</x:v>
      </x:c>
      <x:c r="D27" s="142" t="n">
        <x:f aca="0">IF(Assumptions!B26="","",Assumptions!B26)</x:f>
        <x:v>0.65</x:v>
      </x:c>
      <x:c r="E27" s="144" t="s">
        <x:v>385</x:v>
      </x:c>
      <x:c r="F27" s="140" t="s">
        <x:v>119</x:v>
      </x:c>
      <x:c r="G27" s="140" t="s">
        <x:v>386</x:v>
      </x:c>
    </x:row>
    <x:row r="28" ht="22.350000381469727" hidden="0">
      <x:c r="A28" s="140" t="s">
        <x:v>379</x:v>
      </x:c>
      <x:c r="B28" s="140" t="s">
        <x:v>32</x:v>
      </x:c>
      <x:c r="C28" s="141" t="s">
        <x:v>412</x:v>
      </x:c>
      <x:c r="D28" s="142" t="n">
        <x:f aca="0">IF(Assumptions!B27="","",Assumptions!B27)</x:f>
        <x:v>0.35</x:v>
      </x:c>
      <x:c r="E28" s="144" t="s">
        <x:v>385</x:v>
      </x:c>
      <x:c r="F28" s="140" t="s">
        <x:v>119</x:v>
      </x:c>
      <x:c r="G28" s="140" t="s">
        <x:v>386</x:v>
      </x:c>
    </x:row>
    <x:row r="29" ht="22.350000381469727" hidden="0">
      <x:c r="A29" s="140" t="s">
        <x:v>379</x:v>
      </x:c>
      <x:c r="B29" s="140" t="s">
        <x:v>33</x:v>
      </x:c>
      <x:c r="C29" s="141" t="s">
        <x:v>413</x:v>
      </x:c>
      <x:c r="D29" s="142" t="n">
        <x:f aca="0">IF(Assumptions!B28="","",Assumptions!B28)</x:f>
        <x:v>0.015</x:v>
      </x:c>
      <x:c r="E29" s="144" t="s">
        <x:v>385</x:v>
      </x:c>
      <x:c r="F29" s="140" t="s">
        <x:v>119</x:v>
      </x:c>
      <x:c r="G29" s="140" t="s">
        <x:v>386</x:v>
      </x:c>
    </x:row>
    <x:row r="30" ht="22.350000381469727" hidden="0">
      <x:c r="A30" s="140" t="s">
        <x:v>379</x:v>
      </x:c>
      <x:c r="B30" s="140" t="s">
        <x:v>34</x:v>
      </x:c>
      <x:c r="C30" s="141" t="s">
        <x:v>414</x:v>
      </x:c>
      <x:c r="D30" s="142" t="n">
        <x:f aca="0">IF(Assumptions!B29="","",Assumptions!B29)</x:f>
        <x:v>0.02</x:v>
      </x:c>
      <x:c r="E30" s="144" t="s">
        <x:v>385</x:v>
      </x:c>
      <x:c r="F30" s="140" t="s">
        <x:v>119</x:v>
      </x:c>
      <x:c r="G30" s="140" t="s">
        <x:v>386</x:v>
      </x:c>
    </x:row>
    <x:row r="31" ht="22.350000381469727" hidden="0">
      <x:c r="A31" s="140" t="s">
        <x:v>379</x:v>
      </x:c>
      <x:c r="B31" s="140" t="s">
        <x:v>35</x:v>
      </x:c>
      <x:c r="C31" s="141" t="s">
        <x:v>415</x:v>
      </x:c>
      <x:c r="D31" s="142" t="n">
        <x:f aca="0">IF(Assumptions!B30="","",Assumptions!B30)</x:f>
        <x:v>1600</x:v>
      </x:c>
      <x:c r="E31" s="144" t="s">
        <x:v>385</x:v>
      </x:c>
      <x:c r="F31" s="140" t="s">
        <x:v>183</x:v>
      </x:c>
      <x:c r="G31" s="140" t="s">
        <x:v>386</x:v>
      </x:c>
    </x:row>
    <x:row r="32" ht="22.350000381469727" hidden="0">
      <x:c r="A32" s="140" t="s">
        <x:v>379</x:v>
      </x:c>
      <x:c r="B32" s="140" t="s">
        <x:v>36</x:v>
      </x:c>
      <x:c r="C32" s="141" t="s">
        <x:v>416</x:v>
      </x:c>
      <x:c r="D32" s="142" t="n">
        <x:f aca="0">IF(Assumptions!B31="","",Assumptions!B31)</x:f>
        <x:v>2200</x:v>
      </x:c>
      <x:c r="E32" s="144" t="s">
        <x:v>385</x:v>
      </x:c>
      <x:c r="F32" s="140" t="s">
        <x:v>183</x:v>
      </x:c>
      <x:c r="G32" s="140" t="s">
        <x:v>386</x:v>
      </x:c>
    </x:row>
    <x:row r="33" ht="22.350000381469727" hidden="0">
      <x:c r="A33" s="140" t="s">
        <x:v>379</x:v>
      </x:c>
      <x:c r="B33" s="140" t="s">
        <x:v>37</x:v>
      </x:c>
      <x:c r="C33" s="141" t="s">
        <x:v>417</x:v>
      </x:c>
      <x:c r="D33" s="142" t="n">
        <x:f aca="0">IF(Assumptions!B32="","",Assumptions!B32)</x:f>
        <x:v>6000000</x:v>
      </x:c>
      <x:c r="E33" s="144" t="s">
        <x:v>385</x:v>
      </x:c>
      <x:c r="F33" s="140" t="s">
        <x:v>201</x:v>
      </x:c>
      <x:c r="G33" s="140" t="s">
        <x:v>386</x:v>
      </x:c>
    </x:row>
    <x:row r="34" ht="22.350000381469727" hidden="0">
      <x:c r="A34" s="140" t="s">
        <x:v>379</x:v>
      </x:c>
      <x:c r="B34" s="140" t="s">
        <x:v>38</x:v>
      </x:c>
      <x:c r="C34" s="141" t="s">
        <x:v>418</x:v>
      </x:c>
      <x:c r="D34" s="142" t="n">
        <x:f aca="0">IF(Assumptions!B33="","",Assumptions!B33)</x:f>
        <x:v>2000000</x:v>
      </x:c>
      <x:c r="E34" s="144" t="s">
        <x:v>385</x:v>
      </x:c>
      <x:c r="F34" s="140" t="s">
        <x:v>201</x:v>
      </x:c>
      <x:c r="G34" s="140" t="s">
        <x:v>386</x:v>
      </x:c>
    </x:row>
    <x:row r="35" ht="22.350000381469727" hidden="0">
      <x:c r="A35" s="140" t="s">
        <x:v>379</x:v>
      </x:c>
      <x:c r="B35" s="140" t="s">
        <x:v>39</x:v>
      </x:c>
      <x:c r="C35" s="141" t="s">
        <x:v>419</x:v>
      </x:c>
      <x:c r="D35" s="142" t="n">
        <x:f aca="0">IF(Assumptions!B34="","",Assumptions!B34)</x:f>
        <x:v>2600000</x:v>
      </x:c>
      <x:c r="E35" s="144" t="s">
        <x:v>385</x:v>
      </x:c>
      <x:c r="F35" s="140" t="s">
        <x:v>201</x:v>
      </x:c>
      <x:c r="G35" s="140" t="s">
        <x:v>386</x:v>
      </x:c>
    </x:row>
    <x:row r="36" ht="22.350000381469727" hidden="0">
      <x:c r="A36" s="140" t="s">
        <x:v>379</x:v>
      </x:c>
      <x:c r="B36" s="140" t="s">
        <x:v>40</x:v>
      </x:c>
      <x:c r="C36" s="141" t="s">
        <x:v>420</x:v>
      </x:c>
      <x:c r="D36" s="142" t="n">
        <x:f aca="0">IF(Assumptions!B35="","",Assumptions!B35)</x:f>
        <x:v>3200000</x:v>
      </x:c>
      <x:c r="E36" s="144" t="s">
        <x:v>385</x:v>
      </x:c>
      <x:c r="F36" s="140" t="s">
        <x:v>201</x:v>
      </x:c>
      <x:c r="G36" s="140" t="s">
        <x:v>386</x:v>
      </x:c>
    </x:row>
    <x:row r="37" ht="15" hidden="0">
      <x:c r="A37" s="140" t="s">
        <x:v>379</x:v>
      </x:c>
      <x:c r="B37" s="140" t="s">
        <x:v>41</x:v>
      </x:c>
      <x:c r="C37" s="141" t="s">
        <x:v>421</x:v>
      </x:c>
      <x:c r="D37" s="142" t="n">
        <x:f aca="0">IF(Assumptions!B36="","",Assumptions!B36)</x:f>
        <x:v>80.66166284145898</x:v>
      </x:c>
      <x:c r="E37" s="145" t="s">
        <x:v>389</x:v>
      </x:c>
      <x:c r="F37" s="140" t="s">
        <x:v>201</x:v>
      </x:c>
      <x:c r="G37" s="140" t="s">
        <x:v>390</x:v>
      </x:c>
    </x:row>
    <x:row r="38" ht="15" hidden="0">
      <x:c r="A38" s="140" t="s">
        <x:v>379</x:v>
      </x:c>
      <x:c r="B38" s="140" t="s">
        <x:v>42</x:v>
      </x:c>
      <x:c r="C38" s="141" t="s">
        <x:v>422</x:v>
      </x:c>
      <x:c r="D38" s="142" t="n">
        <x:f aca="0">IF(Assumptions!B37="","",Assumptions!B37)</x:f>
        <x:v>1046424.3424567267</x:v>
      </x:c>
      <x:c r="E38" s="145" t="s">
        <x:v>389</x:v>
      </x:c>
      <x:c r="F38" s="140" t="s">
        <x:v>382</x:v>
      </x:c>
      <x:c r="G38" s="140" t="s">
        <x:v>423</x:v>
      </x:c>
    </x:row>
    <x:row r="39" ht="22.350000381469727" hidden="0">
      <x:c r="A39" s="140" t="s">
        <x:v>379</x:v>
      </x:c>
      <x:c r="B39" s="140" t="s">
        <x:v>43</x:v>
      </x:c>
      <x:c r="C39" s="141" t="s">
        <x:v>424</x:v>
      </x:c>
      <x:c r="D39" s="142" t="n">
        <x:f aca="0">IF(Assumptions!B38="","",Assumptions!B38)</x:f>
        <x:v>20000000</x:v>
      </x:c>
      <x:c r="E39" s="144" t="s">
        <x:v>385</x:v>
      </x:c>
      <x:c r="F39" s="140" t="s">
        <x:v>425</x:v>
      </x:c>
      <x:c r="G39" s="140" t="s">
        <x:v>386</x:v>
      </x:c>
    </x:row>
    <x:row r="40" ht="22.350000381469727" hidden="0">
      <x:c r="A40" s="140" t="s">
        <x:v>379</x:v>
      </x:c>
      <x:c r="B40" s="140" t="s">
        <x:v>44</x:v>
      </x:c>
      <x:c r="C40" s="141" t="s">
        <x:v>426</x:v>
      </x:c>
      <x:c r="D40" s="142" t="n">
        <x:f aca="0">IF(Assumptions!B39="","",Assumptions!B39)</x:f>
        <x:v>40000000</x:v>
      </x:c>
      <x:c r="E40" s="144" t="s">
        <x:v>385</x:v>
      </x:c>
      <x:c r="F40" s="140" t="s">
        <x:v>201</x:v>
      </x:c>
      <x:c r="G40" s="140" t="s">
        <x:v>386</x:v>
      </x:c>
    </x:row>
    <x:row r="41" ht="22.350000381469727" hidden="0">
      <x:c r="A41" s="140" t="s">
        <x:v>379</x:v>
      </x:c>
      <x:c r="B41" s="140" t="s">
        <x:v>45</x:v>
      </x:c>
      <x:c r="C41" s="141" t="s">
        <x:v>427</x:v>
      </x:c>
      <x:c r="D41" s="142" t="n">
        <x:f aca="0">IF(Assumptions!B40="","",Assumptions!B40)</x:f>
        <x:v>0.02</x:v>
      </x:c>
      <x:c r="E41" s="144" t="s">
        <x:v>385</x:v>
      </x:c>
      <x:c r="F41" s="140" t="s">
        <x:v>425</x:v>
      </x:c>
      <x:c r="G41" s="140" t="s">
        <x:v>386</x:v>
      </x:c>
    </x:row>
    <x:row r="42" ht="15" hidden="0">
      <x:c r="A42" s="140" t="s">
        <x:v>379</x:v>
      </x:c>
      <x:c r="B42" s="140" t="s">
        <x:v>46</x:v>
      </x:c>
      <x:c r="C42" s="141" t="s">
        <x:v>428</x:v>
      </x:c>
      <x:c r="D42" s="142" t="n">
        <x:f aca="0">IF(Assumptions!B41="","",Assumptions!B41)</x:f>
        <x:v>0.1</x:v>
      </x:c>
      <x:c r="E42" s="145" t="s">
        <x:v>389</x:v>
      </x:c>
      <x:c r="F42" s="140" t="s">
        <x:v>382</x:v>
      </x:c>
      <x:c r="G42" s="140" t="s">
        <x:v>423</x:v>
      </x:c>
    </x:row>
    <x:row r="43" ht="22.350000381469727" hidden="0">
      <x:c r="A43" s="140" t="s">
        <x:v>379</x:v>
      </x:c>
      <x:c r="B43" s="140" t="s">
        <x:v>47</x:v>
      </x:c>
      <x:c r="C43" s="141" t="s">
        <x:v>429</x:v>
      </x:c>
      <x:c r="D43" s="142" t="n">
        <x:f aca="0">IF(Assumptions!B42="","",Assumptions!B42)</x:f>
        <x:v>300000</x:v>
      </x:c>
      <x:c r="E43" s="144" t="s">
        <x:v>385</x:v>
      </x:c>
      <x:c r="F43" s="140" t="s">
        <x:v>201</x:v>
      </x:c>
      <x:c r="G43" s="140" t="s">
        <x:v>386</x:v>
      </x:c>
    </x:row>
    <x:row r="44" ht="22.350000381469727" hidden="0">
      <x:c r="A44" s="140" t="s">
        <x:v>379</x:v>
      </x:c>
      <x:c r="B44" s="140" t="s">
        <x:v>48</x:v>
      </x:c>
      <x:c r="C44" s="141" t="s">
        <x:v>430</x:v>
      </x:c>
      <x:c r="D44" s="142" t="n">
        <x:f aca="0">IF(Assumptions!B43="","",Assumptions!B43)</x:f>
        <x:v>5</x:v>
      </x:c>
      <x:c r="E44" s="144" t="s">
        <x:v>385</x:v>
      </x:c>
      <x:c r="F44" s="140" t="s">
        <x:v>201</x:v>
      </x:c>
      <x:c r="G44" s="140" t="s">
        <x:v>386</x:v>
      </x:c>
    </x:row>
    <x:row r="45" ht="22.350000381469727" hidden="0">
      <x:c r="A45" s="140" t="s">
        <x:v>379</x:v>
      </x:c>
      <x:c r="B45" s="140" t="s">
        <x:v>49</x:v>
      </x:c>
      <x:c r="C45" s="141" t="s">
        <x:v>431</x:v>
      </x:c>
      <x:c r="D45" s="142" t="str">
        <x:f aca="0">IF(Assumptions!B44="","",Assumptions!B44)</x:f>
      </x:c>
      <x:c r="E45" s="144" t="s">
        <x:v>385</x:v>
      </x:c>
      <x:c r="F45" s="140" t="s">
        <x:v>0</x:v>
      </x:c>
      <x:c r="G45" s="140" t="s">
        <x:v>432</x:v>
      </x:c>
    </x:row>
    <x:row r="46" ht="22.350000381469727" hidden="0">
      <x:c r="A46" s="140" t="s">
        <x:v>433</x:v>
      </x:c>
      <x:c r="B46" s="140" t="s">
        <x:v>52</x:v>
      </x:c>
      <x:c r="C46" s="141" t="s">
        <x:v>434</x:v>
      </x:c>
      <x:c r="D46" s="142" t="n">
        <x:f aca="0">IF(Assumptions!B46="","",Assumptions!B46)</x:f>
        <x:v>0.6</x:v>
      </x:c>
      <x:c r="E46" s="143" t="s">
        <x:v>381</x:v>
      </x:c>
      <x:c r="F46" s="140" t="s">
        <x:v>382</x:v>
      </x:c>
      <x:c r="G46" s="140" t="s">
        <x:v>435</x:v>
      </x:c>
    </x:row>
    <x:row r="47" ht="22.350000381469727" hidden="0">
      <x:c r="A47" s="140" t="s">
        <x:v>433</x:v>
      </x:c>
      <x:c r="B47" s="140" t="s">
        <x:v>53</x:v>
      </x:c>
      <x:c r="C47" s="141" t="s">
        <x:v>436</x:v>
      </x:c>
      <x:c r="D47" s="142" t="n">
        <x:f aca="0">IF(Assumptions!B47="","",Assumptions!B47)</x:f>
        <x:v>3.75</x:v>
      </x:c>
      <x:c r="E47" s="143" t="s">
        <x:v>381</x:v>
      </x:c>
      <x:c r="F47" s="140" t="s">
        <x:v>382</x:v>
      </x:c>
      <x:c r="G47" s="140" t="s">
        <x:v>435</x:v>
      </x:c>
    </x:row>
    <x:row r="48" ht="22.350000381469727" hidden="0">
      <x:c r="A48" s="140" t="s">
        <x:v>433</x:v>
      </x:c>
      <x:c r="B48" s="140" t="s">
        <x:v>54</x:v>
      </x:c>
      <x:c r="C48" s="141" t="s">
        <x:v>437</x:v>
      </x:c>
      <x:c r="D48" s="142" t="n">
        <x:f aca="0">IF(Assumptions!B48="","",Assumptions!B48)</x:f>
        <x:v>0.25</x:v>
      </x:c>
      <x:c r="E48" s="143" t="s">
        <x:v>381</x:v>
      </x:c>
      <x:c r="F48" s="140" t="s">
        <x:v>382</x:v>
      </x:c>
      <x:c r="G48" s="140" t="s">
        <x:v>435</x:v>
      </x:c>
    </x:row>
    <x:row r="49" ht="22.350000381469727" hidden="0">
      <x:c r="A49" s="140" t="s">
        <x:v>433</x:v>
      </x:c>
      <x:c r="B49" s="140" t="s">
        <x:v>55</x:v>
      </x:c>
      <x:c r="C49" s="141" t="s">
        <x:v>438</x:v>
      </x:c>
      <x:c r="D49" s="142" t="n">
        <x:f aca="0">IF(Assumptions!B49="","",Assumptions!B49)</x:f>
        <x:v>0.2</x:v>
      </x:c>
      <x:c r="E49" s="143" t="s">
        <x:v>381</x:v>
      </x:c>
      <x:c r="F49" s="140" t="s">
        <x:v>382</x:v>
      </x:c>
      <x:c r="G49" s="140" t="s">
        <x:v>435</x:v>
      </x:c>
    </x:row>
    <x:row r="50" ht="22.350000381469727" hidden="0">
      <x:c r="A50" s="140" t="s">
        <x:v>433</x:v>
      </x:c>
      <x:c r="B50" s="140" t="s">
        <x:v>56</x:v>
      </x:c>
      <x:c r="C50" s="141" t="s">
        <x:v>439</x:v>
      </x:c>
      <x:c r="D50" s="142" t="n">
        <x:f aca="0">IF(Assumptions!B50="","",Assumptions!B50)</x:f>
        <x:v>7.5</x:v>
      </x:c>
      <x:c r="E50" s="143" t="s">
        <x:v>381</x:v>
      </x:c>
      <x:c r="F50" s="140" t="s">
        <x:v>382</x:v>
      </x:c>
      <x:c r="G50" s="140" t="s">
        <x:v>435</x:v>
      </x:c>
    </x:row>
    <x:row r="51" ht="22.350000381469727" hidden="0">
      <x:c r="A51" s="140" t="s">
        <x:v>433</x:v>
      </x:c>
      <x:c r="B51" s="140" t="s">
        <x:v>57</x:v>
      </x:c>
      <x:c r="C51" s="141" t="s">
        <x:v>440</x:v>
      </x:c>
      <x:c r="D51" s="142" t="n">
        <x:f aca="0">IF(Assumptions!B51="","",Assumptions!B51)</x:f>
        <x:v>0.1667</x:v>
      </x:c>
      <x:c r="E51" s="143" t="s">
        <x:v>381</x:v>
      </x:c>
      <x:c r="F51" s="140" t="s">
        <x:v>382</x:v>
      </x:c>
      <x:c r="G51" s="140" t="s">
        <x:v>435</x:v>
      </x:c>
    </x:row>
    <x:row r="52" ht="22.350000381469727" hidden="0">
      <x:c r="A52" s="140" t="s">
        <x:v>433</x:v>
      </x:c>
      <x:c r="B52" s="140" t="s">
        <x:v>58</x:v>
      </x:c>
      <x:c r="C52" s="141" t="s">
        <x:v>441</x:v>
      </x:c>
      <x:c r="D52" s="142" t="n">
        <x:f aca="0">IF(Assumptions!B52="","",Assumptions!B52)</x:f>
        <x:v>0.1</x:v>
      </x:c>
      <x:c r="E52" s="143" t="s">
        <x:v>381</x:v>
      </x:c>
      <x:c r="F52" s="140" t="s">
        <x:v>0</x:v>
      </x:c>
      <x:c r="G52" s="140" t="s">
        <x:v>435</x:v>
      </x:c>
    </x:row>
    <x:row r="53" ht="22.350000381469727" hidden="0">
      <x:c r="A53" s="140" t="s">
        <x:v>433</x:v>
      </x:c>
      <x:c r="B53" s="140" t="s">
        <x:v>59</x:v>
      </x:c>
      <x:c r="C53" s="141" t="s">
        <x:v>442</x:v>
      </x:c>
      <x:c r="D53" s="142" t="n">
        <x:f aca="0">IF(Assumptions!B53="","",Assumptions!B53)</x:f>
        <x:v>50</x:v>
      </x:c>
      <x:c r="E53" s="143" t="s">
        <x:v>381</x:v>
      </x:c>
      <x:c r="F53" s="140" t="s">
        <x:v>382</x:v>
      </x:c>
      <x:c r="G53" s="140" t="s">
        <x:v>435</x:v>
      </x:c>
    </x:row>
    <x:row r="54" ht="22.350000381469727" hidden="0">
      <x:c r="A54" s="140" t="s">
        <x:v>433</x:v>
      </x:c>
      <x:c r="B54" s="140" t="s">
        <x:v>60</x:v>
      </x:c>
      <x:c r="C54" s="141" t="s">
        <x:v>443</x:v>
      </x:c>
      <x:c r="D54" s="142" t="n">
        <x:f aca="0">IF(Assumptions!B54="","",Assumptions!B54)</x:f>
        <x:v>0.8</x:v>
      </x:c>
      <x:c r="E54" s="143" t="s">
        <x:v>381</x:v>
      </x:c>
      <x:c r="F54" s="140" t="s">
        <x:v>382</x:v>
      </x:c>
      <x:c r="G54" s="140" t="s">
        <x:v>435</x:v>
      </x:c>
    </x:row>
    <x:row r="55" ht="22.350000381469727" hidden="0">
      <x:c r="A55" s="140" t="s">
        <x:v>433</x:v>
      </x:c>
      <x:c r="B55" s="140" t="s">
        <x:v>61</x:v>
      </x:c>
      <x:c r="C55" s="141" t="s">
        <x:v>444</x:v>
      </x:c>
      <x:c r="D55" s="142" t="n">
        <x:f aca="0">IF(Assumptions!B55="","",Assumptions!B55)</x:f>
        <x:v>0.05</x:v>
      </x:c>
      <x:c r="E55" s="143" t="s">
        <x:v>381</x:v>
      </x:c>
      <x:c r="F55" s="140" t="s">
        <x:v>382</x:v>
      </x:c>
      <x:c r="G55" s="140" t="s">
        <x:v>435</x:v>
      </x:c>
    </x:row>
    <x:row r="56" ht="22.350000381469727" hidden="0">
      <x:c r="A56" s="140" t="s">
        <x:v>433</x:v>
      </x:c>
      <x:c r="B56" s="140" t="s">
        <x:v>62</x:v>
      </x:c>
      <x:c r="C56" s="141" t="s">
        <x:v>445</x:v>
      </x:c>
      <x:c r="D56" s="142" t="n">
        <x:f aca="0">IF(Assumptions!B56="","",Assumptions!B56)</x:f>
        <x:v>10.8</x:v>
      </x:c>
      <x:c r="E56" s="143" t="s">
        <x:v>381</x:v>
      </x:c>
      <x:c r="F56" s="140" t="s">
        <x:v>382</x:v>
      </x:c>
      <x:c r="G56" s="140" t="s">
        <x:v>435</x:v>
      </x:c>
    </x:row>
    <x:row r="57" ht="22.350000381469727" hidden="0">
      <x:c r="A57" s="140" t="s">
        <x:v>433</x:v>
      </x:c>
      <x:c r="B57" s="140" t="s">
        <x:v>64</x:v>
      </x:c>
      <x:c r="C57" s="141" t="s">
        <x:v>446</x:v>
      </x:c>
      <x:c r="D57" s="142" t="n">
        <x:f aca="0">IF(Assumptions!B57="","",Assumptions!B57)</x:f>
        <x:v>0.12</x:v>
      </x:c>
      <x:c r="E57" s="143" t="s">
        <x:v>381</x:v>
      </x:c>
      <x:c r="F57" s="140" t="s">
        <x:v>382</x:v>
      </x:c>
      <x:c r="G57" s="140" t="s">
        <x:v>435</x:v>
      </x:c>
    </x:row>
    <x:row r="58" ht="22.350000381469727" hidden="0">
      <x:c r="A58" s="140" t="s">
        <x:v>433</x:v>
      </x:c>
      <x:c r="B58" s="140" t="s">
        <x:v>65</x:v>
      </x:c>
      <x:c r="C58" s="141" t="s">
        <x:v>447</x:v>
      </x:c>
      <x:c r="D58" s="142" t="n">
        <x:f aca="0">IF(Assumptions!B58="","",Assumptions!B58)</x:f>
        <x:v>0.03</x:v>
      </x:c>
      <x:c r="E58" s="143" t="s">
        <x:v>381</x:v>
      </x:c>
      <x:c r="F58" s="140" t="s">
        <x:v>382</x:v>
      </x:c>
      <x:c r="G58" s="140" t="s">
        <x:v>435</x:v>
      </x:c>
    </x:row>
    <x:row r="59" ht="22.350000381469727" hidden="0">
      <x:c r="A59" s="140" t="s">
        <x:v>433</x:v>
      </x:c>
      <x:c r="B59" s="140" t="s">
        <x:v>66</x:v>
      </x:c>
      <x:c r="C59" s="141" t="s">
        <x:v>448</x:v>
      </x:c>
      <x:c r="D59" s="142" t="n">
        <x:f aca="0">IF(Assumptions!B59="","",Assumptions!B59)</x:f>
        <x:v>27</x:v>
      </x:c>
      <x:c r="E59" s="143" t="s">
        <x:v>381</x:v>
      </x:c>
      <x:c r="F59" s="140" t="s">
        <x:v>382</x:v>
      </x:c>
      <x:c r="G59" s="140" t="s">
        <x:v>435</x:v>
      </x:c>
    </x:row>
    <x:row r="60" ht="22.350000381469727" hidden="0">
      <x:c r="A60" s="140" t="s">
        <x:v>433</x:v>
      </x:c>
      <x:c r="B60" s="140" t="s">
        <x:v>68</x:v>
      </x:c>
      <x:c r="C60" s="141" t="s">
        <x:v>449</x:v>
      </x:c>
      <x:c r="D60" s="142" t="n">
        <x:f aca="0">IF(Assumptions!B60="","",Assumptions!B60)</x:f>
        <x:v>0.15</x:v>
      </x:c>
      <x:c r="E60" s="143" t="s">
        <x:v>381</x:v>
      </x:c>
      <x:c r="F60" s="140" t="s">
        <x:v>382</x:v>
      </x:c>
      <x:c r="G60" s="140" t="s">
        <x:v>435</x:v>
      </x:c>
    </x:row>
    <x:row r="61" ht="22.350000381469727" hidden="0">
      <x:c r="A61" s="140" t="s">
        <x:v>433</x:v>
      </x:c>
      <x:c r="B61" s="140" t="s">
        <x:v>69</x:v>
      </x:c>
      <x:c r="C61" s="141" t="s">
        <x:v>450</x:v>
      </x:c>
      <x:c r="D61" s="142" t="n">
        <x:f aca="0">IF(Assumptions!B61="","",Assumptions!B61)</x:f>
        <x:v>0.02</x:v>
      </x:c>
      <x:c r="E61" s="143" t="s">
        <x:v>381</x:v>
      </x:c>
      <x:c r="F61" s="140" t="s">
        <x:v>382</x:v>
      </x:c>
      <x:c r="G61" s="140" t="s">
        <x:v>435</x:v>
      </x:c>
    </x:row>
    <x:row r="62" ht="22.350000381469727" hidden="0">
      <x:c r="A62" s="140" t="s">
        <x:v>433</x:v>
      </x:c>
      <x:c r="B62" s="140" t="s">
        <x:v>70</x:v>
      </x:c>
      <x:c r="C62" s="141" t="s">
        <x:v>451</x:v>
      </x:c>
      <x:c r="D62" s="142" t="n">
        <x:f aca="0">IF(Assumptions!B62="","",Assumptions!B62)</x:f>
        <x:v>30</x:v>
      </x:c>
      <x:c r="E62" s="143" t="s">
        <x:v>381</x:v>
      </x:c>
      <x:c r="F62" s="140" t="s">
        <x:v>382</x:v>
      </x:c>
      <x:c r="G62" s="140" t="s">
        <x:v>435</x:v>
      </x:c>
    </x:row>
    <x:row r="63" ht="22.350000381469727" hidden="0">
      <x:c r="A63" s="140" t="s">
        <x:v>433</x:v>
      </x:c>
      <x:c r="B63" s="140" t="s">
        <x:v>71</x:v>
      </x:c>
      <x:c r="C63" s="141" t="s">
        <x:v>452</x:v>
      </x:c>
      <x:c r="D63" s="142" t="n">
        <x:f aca="0">IF(Assumptions!B63="","",Assumptions!B63)</x:f>
        <x:v>0.1</x:v>
      </x:c>
      <x:c r="E63" s="143" t="s">
        <x:v>381</x:v>
      </x:c>
      <x:c r="F63" s="140" t="s">
        <x:v>382</x:v>
      </x:c>
      <x:c r="G63" s="140" t="s">
        <x:v>435</x:v>
      </x:c>
    </x:row>
    <x:row r="64" ht="22.350000381469727" hidden="0">
      <x:c r="A64" s="140" t="s">
        <x:v>433</x:v>
      </x:c>
      <x:c r="B64" s="140" t="s">
        <x:v>72</x:v>
      </x:c>
      <x:c r="C64" s="141" t="s">
        <x:v>453</x:v>
      </x:c>
      <x:c r="D64" s="142" t="n">
        <x:f aca="0">IF(Assumptions!B64="","",Assumptions!B64)</x:f>
        <x:v>0.07</x:v>
      </x:c>
      <x:c r="E64" s="143" t="s">
        <x:v>381</x:v>
      </x:c>
      <x:c r="F64" s="140" t="s">
        <x:v>382</x:v>
      </x:c>
      <x:c r="G64" s="140" t="s">
        <x:v>435</x:v>
      </x:c>
    </x:row>
    <x:row r="65" ht="22.350000381469727" hidden="0">
      <x:c r="A65" s="140" t="s">
        <x:v>433</x:v>
      </x:c>
      <x:c r="B65" s="140" t="s">
        <x:v>73</x:v>
      </x:c>
      <x:c r="C65" s="141" t="s">
        <x:v>454</x:v>
      </x:c>
      <x:c r="D65" s="142" t="n">
        <x:f aca="0">IF(Assumptions!B65="","",Assumptions!B65)</x:f>
        <x:v>0.03</x:v>
      </x:c>
      <x:c r="E65" s="143" t="s">
        <x:v>381</x:v>
      </x:c>
      <x:c r="F65" s="140" t="s">
        <x:v>382</x:v>
      </x:c>
      <x:c r="G65" s="140" t="s">
        <x:v>435</x:v>
      </x:c>
    </x:row>
    <x:row r="66" ht="22.350000381469727" hidden="0">
      <x:c r="A66" s="140" t="s">
        <x:v>433</x:v>
      </x:c>
      <x:c r="B66" s="140" t="s">
        <x:v>74</x:v>
      </x:c>
      <x:c r="C66" s="141" t="s">
        <x:v>455</x:v>
      </x:c>
      <x:c r="D66" s="142" t="n">
        <x:f aca="0">IF(Assumptions!B66="","",Assumptions!B66)</x:f>
        <x:v>1.5</x:v>
      </x:c>
      <x:c r="E66" s="143" t="s">
        <x:v>381</x:v>
      </x:c>
      <x:c r="F66" s="140" t="s">
        <x:v>382</x:v>
      </x:c>
      <x:c r="G66" s="140" t="s">
        <x:v>456</x:v>
      </x:c>
    </x:row>
    <x:row r="67" ht="22.350000381469727" hidden="0">
      <x:c r="A67" s="140" t="s">
        <x:v>433</x:v>
      </x:c>
      <x:c r="B67" s="140" t="s">
        <x:v>75</x:v>
      </x:c>
      <x:c r="C67" s="141" t="s">
        <x:v>457</x:v>
      </x:c>
      <x:c r="D67" s="142" t="n">
        <x:f aca="0">IF(Assumptions!B67="","",Assumptions!B67)</x:f>
        <x:v>0.7</x:v>
      </x:c>
      <x:c r="E67" s="143" t="s">
        <x:v>381</x:v>
      </x:c>
      <x:c r="F67" s="140" t="s">
        <x:v>382</x:v>
      </x:c>
      <x:c r="G67" s="140" t="s">
        <x:v>456</x:v>
      </x:c>
    </x:row>
    <x:row r="68" ht="22.350000381469727" hidden="0">
      <x:c r="A68" s="140" t="s">
        <x:v>433</x:v>
      </x:c>
      <x:c r="B68" s="140" t="s">
        <x:v>76</x:v>
      </x:c>
      <x:c r="C68" s="141" t="s">
        <x:v>458</x:v>
      </x:c>
      <x:c r="D68" s="142" t="n">
        <x:f aca="0">IF(Assumptions!B68="","",Assumptions!B68)</x:f>
        <x:v>6</x:v>
      </x:c>
      <x:c r="E68" s="144" t="s">
        <x:v>385</x:v>
      </x:c>
      <x:c r="F68" s="140" t="s">
        <x:v>201</x:v>
      </x:c>
      <x:c r="G68" s="140" t="s">
        <x:v>386</x:v>
      </x:c>
    </x:row>
    <x:row r="69" ht="22.350000381469727" hidden="0">
      <x:c r="A69" s="140" t="s">
        <x:v>433</x:v>
      </x:c>
      <x:c r="B69" s="140" t="s">
        <x:v>77</x:v>
      </x:c>
      <x:c r="C69" s="141" t="s">
        <x:v>459</x:v>
      </x:c>
      <x:c r="D69" s="142" t="n">
        <x:f aca="0">IF(Assumptions!B69="","",Assumptions!B69)</x:f>
        <x:v>12</x:v>
      </x:c>
      <x:c r="E69" s="144" t="s">
        <x:v>385</x:v>
      </x:c>
      <x:c r="F69" s="140" t="s">
        <x:v>201</x:v>
      </x:c>
      <x:c r="G69" s="140" t="s">
        <x:v>386</x:v>
      </x:c>
    </x:row>
    <x:row r="70" ht="22.350000381469727" hidden="0">
      <x:c r="A70" s="140" t="s">
        <x:v>433</x:v>
      </x:c>
      <x:c r="B70" s="140" t="s">
        <x:v>78</x:v>
      </x:c>
      <x:c r="C70" s="141" t="s">
        <x:v>460</x:v>
      </x:c>
      <x:c r="D70" s="142" t="n">
        <x:f aca="0">IF(Assumptions!B70="","",Assumptions!B70)</x:f>
        <x:v>0.2</x:v>
      </x:c>
      <x:c r="E70" s="144" t="s">
        <x:v>385</x:v>
      </x:c>
      <x:c r="F70" s="140" t="s">
        <x:v>461</x:v>
      </x:c>
      <x:c r="G70" s="140" t="s">
        <x:v>386</x:v>
      </x:c>
    </x:row>
    <x:row r="71" ht="22.350000381469727" hidden="0">
      <x:c r="A71" s="140" t="s">
        <x:v>462</x:v>
      </x:c>
      <x:c r="B71" s="140" t="s">
        <x:v>80</x:v>
      </x:c>
      <x:c r="C71" s="141" t="s">
        <x:v>463</x:v>
      </x:c>
      <x:c r="D71" s="142" t="n">
        <x:f aca="0">IF(Assumptions!B73="","",Assumptions!B73)</x:f>
        <x:v>0.2</x:v>
      </x:c>
      <x:c r="E71" s="144" t="s">
        <x:v>385</x:v>
      </x:c>
      <x:c r="F71" s="140" t="s">
        <x:v>464</x:v>
      </x:c>
      <x:c r="G71" s="140" t="s">
        <x:v>386</x:v>
      </x:c>
    </x:row>
    <x:row r="72" ht="22.350000381469727" hidden="0">
      <x:c r="A72" s="140" t="s">
        <x:v>462</x:v>
      </x:c>
      <x:c r="B72" s="140" t="s">
        <x:v>81</x:v>
      </x:c>
      <x:c r="C72" s="141" t="s">
        <x:v>465</x:v>
      </x:c>
      <x:c r="D72" s="142" t="n">
        <x:f aca="0">IF(Assumptions!B74="","",Assumptions!B74)</x:f>
        <x:v>24</x:v>
      </x:c>
      <x:c r="E72" s="144" t="s">
        <x:v>385</x:v>
      </x:c>
      <x:c r="F72" s="140" t="s">
        <x:v>228</x:v>
      </x:c>
      <x:c r="G72" s="140" t="s">
        <x:v>386</x:v>
      </x:c>
    </x:row>
    <x:row r="73" ht="22.350000381469727" hidden="0">
      <x:c r="A73" s="140" t="s">
        <x:v>462</x:v>
      </x:c>
      <x:c r="B73" s="140" t="s">
        <x:v>82</x:v>
      </x:c>
      <x:c r="C73" s="141" t="s">
        <x:v>466</x:v>
      </x:c>
      <x:c r="D73" s="142" t="n">
        <x:f aca="0">IF(Assumptions!B75="","",Assumptions!B75)</x:f>
        <x:v>1</x:v>
      </x:c>
      <x:c r="E73" s="144" t="s">
        <x:v>385</x:v>
      </x:c>
      <x:c r="F73" s="140" t="s">
        <x:v>467</x:v>
      </x:c>
      <x:c r="G73" s="140" t="s">
        <x:v>386</x:v>
      </x:c>
    </x:row>
    <x:row r="74" ht="22.350000381469727" hidden="0">
      <x:c r="A74" s="140" t="s">
        <x:v>468</x:v>
      </x:c>
      <x:c r="B74" s="140" t="s">
        <x:v>469</x:v>
      </x:c>
      <x:c r="C74" s="141" t="s">
        <x:v>470</x:v>
      </x:c>
      <x:c r="D74" s="142" t="n">
        <x:f aca="0">IF(Assumptions!B79="","",Assumptions!B79)</x:f>
        <x:v>0.7</x:v>
      </x:c>
      <x:c r="E74" s="144" t="s">
        <x:v>385</x:v>
      </x:c>
      <x:c r="F74" s="140" t="s">
        <x:v>289</x:v>
      </x:c>
      <x:c r="G74" s="140" t="s">
        <x:v>386</x:v>
      </x:c>
    </x:row>
    <x:row r="75" ht="22.350000381469727" hidden="0">
      <x:c r="A75" s="140" t="s">
        <x:v>468</x:v>
      </x:c>
      <x:c r="B75" s="140" t="s">
        <x:v>471</x:v>
      </x:c>
      <x:c r="C75" s="141" t="s">
        <x:v>472</x:v>
      </x:c>
      <x:c r="D75" s="142" t="n">
        <x:f aca="0">IF(Assumptions!C79="","",Assumptions!C79)</x:f>
        <x:v>1</x:v>
      </x:c>
      <x:c r="E75" s="144" t="s">
        <x:v>385</x:v>
      </x:c>
      <x:c r="F75" s="140" t="s">
        <x:v>289</x:v>
      </x:c>
      <x:c r="G75" s="140" t="s">
        <x:v>386</x:v>
      </x:c>
    </x:row>
    <x:row r="76" ht="22.350000381469727" hidden="0">
      <x:c r="A76" s="140" t="s">
        <x:v>468</x:v>
      </x:c>
      <x:c r="B76" s="140" t="s">
        <x:v>473</x:v>
      </x:c>
      <x:c r="C76" s="141" t="s">
        <x:v>474</x:v>
      </x:c>
      <x:c r="D76" s="142" t="n">
        <x:f aca="0">IF(Assumptions!D79="","",Assumptions!D79)</x:f>
        <x:v>1.3</x:v>
      </x:c>
      <x:c r="E76" s="144" t="s">
        <x:v>385</x:v>
      </x:c>
      <x:c r="F76" s="140" t="s">
        <x:v>289</x:v>
      </x:c>
      <x:c r="G76" s="140" t="s">
        <x:v>386</x:v>
      </x:c>
    </x:row>
    <x:row r="77" ht="22.350000381469727" hidden="0">
      <x:c r="A77" s="140" t="s">
        <x:v>468</x:v>
      </x:c>
      <x:c r="B77" s="140" t="s">
        <x:v>475</x:v>
      </x:c>
      <x:c r="C77" s="141" t="s">
        <x:v>476</x:v>
      </x:c>
      <x:c r="D77" s="142" t="n">
        <x:f aca="0">IF(Assumptions!B80="","",Assumptions!B80)</x:f>
        <x:v>0.7</x:v>
      </x:c>
      <x:c r="E77" s="144" t="s">
        <x:v>385</x:v>
      </x:c>
      <x:c r="F77" s="140" t="s">
        <x:v>289</x:v>
      </x:c>
      <x:c r="G77" s="140" t="s">
        <x:v>386</x:v>
      </x:c>
    </x:row>
    <x:row r="78" ht="22.350000381469727" hidden="0">
      <x:c r="A78" s="140" t="s">
        <x:v>468</x:v>
      </x:c>
      <x:c r="B78" s="140" t="s">
        <x:v>477</x:v>
      </x:c>
      <x:c r="C78" s="141" t="s">
        <x:v>478</x:v>
      </x:c>
      <x:c r="D78" s="142" t="n">
        <x:f aca="0">IF(Assumptions!C80="","",Assumptions!C80)</x:f>
        <x:v>1</x:v>
      </x:c>
      <x:c r="E78" s="144" t="s">
        <x:v>385</x:v>
      </x:c>
      <x:c r="F78" s="140" t="s">
        <x:v>289</x:v>
      </x:c>
      <x:c r="G78" s="140" t="s">
        <x:v>386</x:v>
      </x:c>
    </x:row>
    <x:row r="79" ht="22.350000381469727" hidden="0">
      <x:c r="A79" s="140" t="s">
        <x:v>468</x:v>
      </x:c>
      <x:c r="B79" s="140" t="s">
        <x:v>479</x:v>
      </x:c>
      <x:c r="C79" s="141" t="s">
        <x:v>480</x:v>
      </x:c>
      <x:c r="D79" s="142" t="n">
        <x:f aca="0">IF(Assumptions!D80="","",Assumptions!D80)</x:f>
        <x:v>1.3</x:v>
      </x:c>
      <x:c r="E79" s="144" t="s">
        <x:v>385</x:v>
      </x:c>
      <x:c r="F79" s="140" t="s">
        <x:v>289</x:v>
      </x:c>
      <x:c r="G79" s="140" t="s">
        <x:v>386</x:v>
      </x:c>
    </x:row>
    <x:row r="80" ht="22.350000381469727" hidden="0">
      <x:c r="A80" s="140" t="s">
        <x:v>468</x:v>
      </x:c>
      <x:c r="B80" s="140" t="s">
        <x:v>481</x:v>
      </x:c>
      <x:c r="C80" s="141" t="s">
        <x:v>482</x:v>
      </x:c>
      <x:c r="D80" s="142" t="n">
        <x:f aca="0">IF(Assumptions!B81="","",Assumptions!B81)</x:f>
        <x:v>1.1</x:v>
      </x:c>
      <x:c r="E80" s="144" t="s">
        <x:v>385</x:v>
      </x:c>
      <x:c r="F80" s="140" t="s">
        <x:v>289</x:v>
      </x:c>
      <x:c r="G80" s="140" t="s">
        <x:v>386</x:v>
      </x:c>
    </x:row>
    <x:row r="81" ht="22.350000381469727" hidden="0">
      <x:c r="A81" s="140" t="s">
        <x:v>468</x:v>
      </x:c>
      <x:c r="B81" s="140" t="s">
        <x:v>483</x:v>
      </x:c>
      <x:c r="C81" s="141" t="s">
        <x:v>484</x:v>
      </x:c>
      <x:c r="D81" s="142" t="n">
        <x:f aca="0">IF(Assumptions!C81="","",Assumptions!C81)</x:f>
        <x:v>1</x:v>
      </x:c>
      <x:c r="E81" s="144" t="s">
        <x:v>385</x:v>
      </x:c>
      <x:c r="F81" s="140" t="s">
        <x:v>289</x:v>
      </x:c>
      <x:c r="G81" s="140" t="s">
        <x:v>386</x:v>
      </x:c>
    </x:row>
    <x:row r="82" ht="22.350000381469727" hidden="0">
      <x:c r="A82" s="140" t="s">
        <x:v>468</x:v>
      </x:c>
      <x:c r="B82" s="140" t="s">
        <x:v>485</x:v>
      </x:c>
      <x:c r="C82" s="141" t="s">
        <x:v>486</x:v>
      </x:c>
      <x:c r="D82" s="142" t="n">
        <x:f aca="0">IF(Assumptions!D81="","",Assumptions!D81)</x:f>
        <x:v>0.9</x:v>
      </x:c>
      <x:c r="E82" s="144" t="s">
        <x:v>385</x:v>
      </x:c>
      <x:c r="F82" s="140" t="s">
        <x:v>289</x:v>
      </x:c>
      <x:c r="G82" s="140" t="s">
        <x:v>386</x:v>
      </x:c>
    </x:row>
    <x:row r="83" ht="22.350000381469727" hidden="0">
      <x:c r="A83" s="140" t="s">
        <x:v>468</x:v>
      </x:c>
      <x:c r="B83" s="140" t="s">
        <x:v>487</x:v>
      </x:c>
      <x:c r="C83" s="141" t="s">
        <x:v>488</x:v>
      </x:c>
      <x:c r="D83" s="142" t="n">
        <x:f aca="0">IF(Assumptions!B82="","",Assumptions!B82)</x:f>
        <x:v>1.15</x:v>
      </x:c>
      <x:c r="E83" s="144" t="s">
        <x:v>385</x:v>
      </x:c>
      <x:c r="F83" s="140" t="s">
        <x:v>289</x:v>
      </x:c>
      <x:c r="G83" s="140" t="s">
        <x:v>386</x:v>
      </x:c>
    </x:row>
    <x:row r="84" ht="22.350000381469727" hidden="0">
      <x:c r="A84" s="140" t="s">
        <x:v>468</x:v>
      </x:c>
      <x:c r="B84" s="140" t="s">
        <x:v>489</x:v>
      </x:c>
      <x:c r="C84" s="141" t="s">
        <x:v>490</x:v>
      </x:c>
      <x:c r="D84" s="142" t="n">
        <x:f aca="0">IF(Assumptions!C82="","",Assumptions!C82)</x:f>
        <x:v>1</x:v>
      </x:c>
      <x:c r="E84" s="144" t="s">
        <x:v>385</x:v>
      </x:c>
      <x:c r="F84" s="140" t="s">
        <x:v>289</x:v>
      </x:c>
      <x:c r="G84" s="140" t="s">
        <x:v>386</x:v>
      </x:c>
    </x:row>
    <x:row r="85" ht="22.350000381469727" hidden="0">
      <x:c r="A85" s="140" t="s">
        <x:v>468</x:v>
      </x:c>
      <x:c r="B85" s="140" t="s">
        <x:v>491</x:v>
      </x:c>
      <x:c r="C85" s="141" t="s">
        <x:v>492</x:v>
      </x:c>
      <x:c r="D85" s="142" t="n">
        <x:f aca="0">IF(Assumptions!D82="","",Assumptions!D82)</x:f>
        <x:v>0.85</x:v>
      </x:c>
      <x:c r="E85" s="144" t="s">
        <x:v>385</x:v>
      </x:c>
      <x:c r="F85" s="140" t="s">
        <x:v>289</x:v>
      </x:c>
      <x:c r="G85" s="140" t="s">
        <x:v>386</x:v>
      </x:c>
    </x:row>
    <x:row r="86" ht="22.350000381469727" hidden="0">
      <x:c r="A86" s="140" t="s">
        <x:v>468</x:v>
      </x:c>
      <x:c r="B86" s="140" t="s">
        <x:v>493</x:v>
      </x:c>
      <x:c r="C86" s="141" t="s">
        <x:v>494</x:v>
      </x:c>
      <x:c r="D86" s="142" t="n">
        <x:f aca="0">IF(Assumptions!B83="","",Assumptions!B83)</x:f>
        <x:v>1.15</x:v>
      </x:c>
      <x:c r="E86" s="144" t="s">
        <x:v>385</x:v>
      </x:c>
      <x:c r="F86" s="140" t="s">
        <x:v>289</x:v>
      </x:c>
      <x:c r="G86" s="140" t="s">
        <x:v>386</x:v>
      </x:c>
    </x:row>
    <x:row r="87" ht="22.350000381469727" hidden="0">
      <x:c r="A87" s="140" t="s">
        <x:v>468</x:v>
      </x:c>
      <x:c r="B87" s="140" t="s">
        <x:v>495</x:v>
      </x:c>
      <x:c r="C87" s="141" t="s">
        <x:v>496</x:v>
      </x:c>
      <x:c r="D87" s="142" t="n">
        <x:f aca="0">IF(Assumptions!C83="","",Assumptions!C83)</x:f>
        <x:v>1</x:v>
      </x:c>
      <x:c r="E87" s="144" t="s">
        <x:v>385</x:v>
      </x:c>
      <x:c r="F87" s="140" t="s">
        <x:v>289</x:v>
      </x:c>
      <x:c r="G87" s="140" t="s">
        <x:v>386</x:v>
      </x:c>
    </x:row>
    <x:row r="88" ht="22.350000381469727" hidden="0">
      <x:c r="A88" s="140" t="s">
        <x:v>468</x:v>
      </x:c>
      <x:c r="B88" s="140" t="s">
        <x:v>497</x:v>
      </x:c>
      <x:c r="C88" s="141" t="s">
        <x:v>498</x:v>
      </x:c>
      <x:c r="D88" s="142" t="n">
        <x:f aca="0">IF(Assumptions!D83="","",Assumptions!D83)</x:f>
        <x:v>0.85</x:v>
      </x:c>
      <x:c r="E88" s="144" t="s">
        <x:v>385</x:v>
      </x:c>
      <x:c r="F88" s="140" t="s">
        <x:v>289</x:v>
      </x:c>
      <x:c r="G88" s="140" t="s">
        <x:v>386</x:v>
      </x:c>
    </x:row>
    <x:row r="89" ht="22.350000381469727" hidden="0">
      <x:c r="A89" s="140" t="s">
        <x:v>468</x:v>
      </x:c>
      <x:c r="B89" s="140" t="s">
        <x:v>499</x:v>
      </x:c>
      <x:c r="C89" s="141" t="s">
        <x:v>500</x:v>
      </x:c>
      <x:c r="D89" s="142" t="n">
        <x:f aca="0">IF(Assumptions!B84="","",Assumptions!B84)</x:f>
        <x:v>1.15</x:v>
      </x:c>
      <x:c r="E89" s="144" t="s">
        <x:v>385</x:v>
      </x:c>
      <x:c r="F89" s="140" t="s">
        <x:v>289</x:v>
      </x:c>
      <x:c r="G89" s="140" t="s">
        <x:v>386</x:v>
      </x:c>
    </x:row>
    <x:row r="90" ht="22.350000381469727" hidden="0">
      <x:c r="A90" s="140" t="s">
        <x:v>468</x:v>
      </x:c>
      <x:c r="B90" s="140" t="s">
        <x:v>501</x:v>
      </x:c>
      <x:c r="C90" s="141" t="s">
        <x:v>502</x:v>
      </x:c>
      <x:c r="D90" s="142" t="n">
        <x:f aca="0">IF(Assumptions!C84="","",Assumptions!C84)</x:f>
        <x:v>1</x:v>
      </x:c>
      <x:c r="E90" s="144" t="s">
        <x:v>385</x:v>
      </x:c>
      <x:c r="F90" s="140" t="s">
        <x:v>289</x:v>
      </x:c>
      <x:c r="G90" s="140" t="s">
        <x:v>386</x:v>
      </x:c>
      <x:c r="I90" s="153" t="str">
        <x:v>Статус параметра</x:v>
      </x:c>
      <x:c r="J90" s="153" t="str">
        <x:v>Количество</x:v>
      </x:c>
      <x:c r="L90" s="153" t="str">
        <x:v>Раздел</x:v>
      </x:c>
      <x:c r="M90" s="153" t="str">
        <x:v>Количество</x:v>
      </x:c>
    </x:row>
    <x:row r="91" ht="22.350000381469727" hidden="0">
      <x:c r="A91" s="140" t="s">
        <x:v>468</x:v>
      </x:c>
      <x:c r="B91" s="140" t="s">
        <x:v>503</x:v>
      </x:c>
      <x:c r="C91" s="141" t="s">
        <x:v>504</x:v>
      </x:c>
      <x:c r="D91" s="142" t="n">
        <x:f aca="0">IF(Assumptions!D84="","",Assumptions!D84)</x:f>
        <x:v>0.85</x:v>
      </x:c>
      <x:c r="E91" s="144" t="s">
        <x:v>385</x:v>
      </x:c>
      <x:c r="F91" s="140" t="s">
        <x:v>289</x:v>
      </x:c>
      <x:c r="G91" s="140" t="s">
        <x:v>386</x:v>
      </x:c>
      <x:c r="I91" s="153" t="str">
        <x:v>Активно</x:v>
      </x:c>
      <x:c r="J91" s="153" t="n">
        <x:f>COUNTIF('Связи модели'!$E$5:$E$98,I91)</x:f>
        <x:v>65</x:v>
      </x:c>
      <x:c r="L91" s="153" t="str">
        <x:v>Основная модель</x:v>
      </x:c>
      <x:c r="M91" s="153" t="n">
        <x:f>COUNTIF('Связи модели'!$A$5:$A$98,L91)</x:f>
        <x:v>41</x:v>
      </x:c>
    </x:row>
    <x:row r="92" ht="22.350000381469727" hidden="0">
      <x:c r="A92" s="140" t="s">
        <x:v>468</x:v>
      </x:c>
      <x:c r="B92" s="140" t="s">
        <x:v>505</x:v>
      </x:c>
      <x:c r="C92" s="141" t="s">
        <x:v>506</x:v>
      </x:c>
      <x:c r="D92" s="142" t="n">
        <x:f aca="0">IF(Assumptions!B85="","",Assumptions!B85)</x:f>
        <x:v>0.03</x:v>
      </x:c>
      <x:c r="E92" s="144" t="s">
        <x:v>385</x:v>
      </x:c>
      <x:c r="F92" s="140" t="s">
        <x:v>289</x:v>
      </x:c>
      <x:c r="G92" s="140" t="s">
        <x:v>386</x:v>
      </x:c>
      <x:c r="I92" s="153" t="str">
        <x:v>Справочно</x:v>
      </x:c>
      <x:c r="J92" s="153" t="n">
        <x:f>COUNTIF('Связи модели'!$E$5:$E$98,I92)</x:f>
        <x:v>24</x:v>
      </x:c>
      <x:c r="L92" s="153" t="str">
        <x:v>CAC / рост</x:v>
      </x:c>
      <x:c r="M92" s="153" t="n">
        <x:f>COUNTIF('Связи модели'!$A$5:$A$98,L92)</x:f>
        <x:v>25</x:v>
      </x:c>
    </x:row>
    <x:row r="93" ht="22.350000381469727" hidden="0">
      <x:c r="A93" s="140" t="s">
        <x:v>468</x:v>
      </x:c>
      <x:c r="B93" s="140" t="s">
        <x:v>507</x:v>
      </x:c>
      <x:c r="C93" s="141" t="s">
        <x:v>508</x:v>
      </x:c>
      <x:c r="D93" s="142" t="n">
        <x:f aca="0">IF(Assumptions!C85="","",Assumptions!C85)</x:f>
        <x:v>0.05</x:v>
      </x:c>
      <x:c r="E93" s="144" t="s">
        <x:v>385</x:v>
      </x:c>
      <x:c r="F93" s="140" t="s">
        <x:v>509</x:v>
      </x:c>
      <x:c r="G93" s="140" t="s">
        <x:v>386</x:v>
      </x:c>
      <x:c r="I93" s="153" t="str">
        <x:v>Расчёт</x:v>
      </x:c>
      <x:c r="J93" s="153" t="n">
        <x:f>COUNTIF('Связи модели'!$E$5:$E$98,I93)</x:f>
        <x:v>5</x:v>
      </x:c>
      <x:c r="L93" s="153" t="str">
        <x:v>Финансы</x:v>
      </x:c>
      <x:c r="M93" s="153" t="n">
        <x:f>COUNTIF('Связи модели'!$A$5:$A$98,L93)</x:f>
        <x:v>3</x:v>
      </x:c>
    </x:row>
    <x:row r="94" ht="22.350000381469727" hidden="0">
      <x:c r="A94" s="140" t="s">
        <x:v>468</x:v>
      </x:c>
      <x:c r="B94" s="140" t="s">
        <x:v>510</x:v>
      </x:c>
      <x:c r="C94" s="141" t="s">
        <x:v>511</x:v>
      </x:c>
      <x:c r="D94" s="142" t="n">
        <x:f aca="0">IF(Assumptions!D85="","",Assumptions!D85)</x:f>
        <x:v>0.07</x:v>
      </x:c>
      <x:c r="E94" s="144" t="s">
        <x:v>385</x:v>
      </x:c>
      <x:c r="F94" s="140" t="s">
        <x:v>289</x:v>
      </x:c>
      <x:c r="G94" s="140" t="s">
        <x:v>386</x:v>
      </x:c>
      <x:c r="I94" s="153" t="str">
        <x:v>OK</x:v>
      </x:c>
      <x:c r="J94" s="153" t="n">
        <x:f>COUNTIF('Связи модели'!$E$103:$E$107,I94)</x:f>
        <x:v>0</x:v>
      </x:c>
      <x:c r="L94" s="153" t="str">
        <x:v>Сценарии</x:v>
      </x:c>
      <x:c r="M94" s="153" t="n">
        <x:f>COUNTIF('Связи модели'!$A$5:$A$98,L94)</x:f>
        <x:v>21</x:v>
      </x:c>
    </x:row>
    <x:row r="95" ht="22.350000381469727" hidden="0">
      <x:c r="A95" s="140" t="s">
        <x:v>234</x:v>
      </x:c>
      <x:c r="B95" s="140" t="s">
        <x:v>106</x:v>
      </x:c>
      <x:c r="C95" s="141" t="s">
        <x:v>512</x:v>
      </x:c>
      <x:c r="D95" s="142" t="n">
        <x:f aca="0">IF(Assumptions!B89="","",Assumptions!B89)</x:f>
        <x:v>150000</x:v>
      </x:c>
      <x:c r="E95" s="144" t="s">
        <x:v>385</x:v>
      </x:c>
      <x:c r="F95" s="140" t="s">
        <x:v>201</x:v>
      </x:c>
      <x:c r="G95" s="140" t="s">
        <x:v>386</x:v>
      </x:c>
      <x:c r="L95" s="153" t="str">
        <x:v>AI costs</x:v>
      </x:c>
      <x:c r="M95" s="153" t="n">
        <x:f>COUNTIF('Связи модели'!$A$5:$A$98,L95)</x:f>
        <x:v>4</x:v>
      </x:c>
    </x:row>
    <x:row r="96" ht="22.350000381469727" hidden="0">
      <x:c r="A96" s="140" t="s">
        <x:v>234</x:v>
      </x:c>
      <x:c r="B96" s="140" t="s">
        <x:v>108</x:v>
      </x:c>
      <x:c r="C96" s="141" t="s">
        <x:v>513</x:v>
      </x:c>
      <x:c r="D96" s="142" t="n">
        <x:f aca="0">IF(Assumptions!B90="","",Assumptions!B90)</x:f>
        <x:v>1.5</x:v>
      </x:c>
      <x:c r="E96" s="144" t="s">
        <x:v>385</x:v>
      </x:c>
      <x:c r="F96" s="140" t="s">
        <x:v>201</x:v>
      </x:c>
      <x:c r="G96" s="140" t="s">
        <x:v>386</x:v>
      </x:c>
    </x:row>
    <x:row r="97" ht="22.350000381469727" hidden="0">
      <x:c r="A97" s="140" t="s">
        <x:v>234</x:v>
      </x:c>
      <x:c r="B97" s="140" t="s">
        <x:v>110</x:v>
      </x:c>
      <x:c r="C97" s="141" t="s">
        <x:v>514</x:v>
      </x:c>
      <x:c r="D97" s="142" t="n">
        <x:f aca="0">IF(Assumptions!B91="","",Assumptions!B91)</x:f>
        <x:v>2000000</x:v>
      </x:c>
      <x:c r="E97" s="144" t="s">
        <x:v>385</x:v>
      </x:c>
      <x:c r="F97" s="140" t="s">
        <x:v>201</x:v>
      </x:c>
      <x:c r="G97" s="140" t="s">
        <x:v>386</x:v>
      </x:c>
    </x:row>
    <x:row r="98" ht="22.350000381469727" hidden="0">
      <x:c r="A98" s="140" t="s">
        <x:v>234</x:v>
      </x:c>
      <x:c r="B98" s="140" t="s">
        <x:v>111</x:v>
      </x:c>
      <x:c r="C98" s="141" t="s">
        <x:v>515</x:v>
      </x:c>
      <x:c r="D98" s="142" t="n">
        <x:f aca="0">IF(Assumptions!B92="","",Assumptions!B92)</x:f>
        <x:v>0.1</x:v>
      </x:c>
      <x:c r="E98" s="144" t="s">
        <x:v>385</x:v>
      </x:c>
      <x:c r="F98" s="140" t="s">
        <x:v>201</x:v>
      </x:c>
      <x:c r="G98" s="140" t="s">
        <x:v>386</x:v>
      </x:c>
    </x:row>
    <x:row r="101" ht="15" hidden="0">
      <x:c r="A101" s="146" t="s">
        <x:v>516</x:v>
      </x:c>
      <x:c r="B101" s="146"/>
      <x:c r="C101" s="146"/>
      <x:c r="D101" s="146"/>
      <x:c r="E101" s="146"/>
      <x:c r="F101" s="146"/>
      <x:c r="G101" s="146"/>
    </x:row>
    <x:row r="102" ht="15" hidden="0">
      <x:c r="A102" s="147" t="s">
        <x:v>517</x:v>
      </x:c>
      <x:c r="B102" s="147" t="s">
        <x:v>3</x:v>
      </x:c>
      <x:c r="C102" s="147" t="s">
        <x:v>518</x:v>
      </x:c>
      <x:c r="D102" s="147" t="s">
        <x:v>343</x:v>
      </x:c>
    </x:row>
    <x:row r="103" ht="15" hidden="0">
      <x:c r="A103" s="148" t="s">
        <x:v>345</x:v>
      </x:c>
      <x:c r="B103" s="148" t="s">
        <x:v>519</x:v>
      </x:c>
      <x:c r="C103" s="149" t="n">
        <x:f aca="0">Assumptions!B94</x:f>
        <x:v>0</x:v>
      </x:c>
      <x:c r="D103" s="150" t="str">
        <x:f aca="0">IF(ABS(C103)&lt;1,"OK","ПРОВЕРИТЬ")</x:f>
        <x:v>OK</x:v>
      </x:c>
    </x:row>
    <x:row r="104" ht="15" hidden="0">
      <x:c r="A104" s="148" t="s">
        <x:v>347</x:v>
      </x:c>
      <x:c r="B104" s="148" t="s">
        <x:v>520</x:v>
      </x:c>
      <x:c r="C104" s="149" t="n">
        <x:f aca="0">Assumptions!B95</x:f>
        <x:v>0</x:v>
      </x:c>
      <x:c r="D104" s="150" t="str">
        <x:f aca="0">IF(ABS(C104)&lt;1,"OK","ПРОВЕРИТЬ")</x:f>
        <x:v>OK</x:v>
      </x:c>
    </x:row>
    <x:row r="105" ht="15" hidden="0">
      <x:c r="A105" s="148" t="s">
        <x:v>521</x:v>
      </x:c>
      <x:c r="B105" s="148" t="s">
        <x:v>522</x:v>
      </x:c>
      <x:c r="C105" s="149" t="n">
        <x:f aca="0">Assumptions!B96</x:f>
        <x:v>0</x:v>
      </x:c>
      <x:c r="D105" s="150" t="str">
        <x:f aca="0">IF(ABS(C105)&lt;1,"OK","ПРОВЕРИТЬ")</x:f>
        <x:v>OK</x:v>
      </x:c>
    </x:row>
    <x:row r="106" ht="15" hidden="0">
      <x:c r="A106" s="148" t="s">
        <x:v>349</x:v>
      </x:c>
      <x:c r="B106" s="148" t="s">
        <x:v>523</x:v>
      </x:c>
      <x:c r="C106" s="149" t="n">
        <x:f aca="0">Assumptions!B100</x:f>
        <x:v>0</x:v>
      </x:c>
      <x:c r="D106" s="150" t="str">
        <x:f aca="0">IF(ABS(C106)&lt;1,"OK","ПРОВЕРИТЬ")</x:f>
        <x:v>OK</x:v>
      </x:c>
    </x:row>
    <x:row r="107" ht="15" hidden="0">
      <x:c r="A107" s="148" t="s">
        <x:v>351</x:v>
      </x:c>
      <x:c r="B107" s="148" t="s">
        <x:v>524</x:v>
      </x:c>
      <x:c r="C107" s="149" t="n">
        <x:f aca="0">Assumptions!B101</x:f>
        <x:v>0</x:v>
      </x:c>
      <x:c r="D107" s="150" t="str">
        <x:f aca="0">IF(ABS(C107)&lt;1,"OK","ПРОВЕРИТЬ")</x:f>
        <x:v>OK</x:v>
      </x:c>
    </x:row>
  </x:sheetData>
  <x:mergeCells>
    <x:mergeCell ref="A1:G1"/>
    <x:mergeCell ref="A2:G2"/>
    <x:mergeCell ref="A3:G3"/>
    <x:mergeCell ref="A101:G101"/>
  </x:mergeCells>
  <x:pageMargins left="0.7" right="0.7" top="0.75" bottom="0.75" header="0.3" footer="0.3"/>
  <x:drawing xmlns:r="http://schemas.openxmlformats.org/officeDocument/2006/relationships" r:id="Rbbfade7bdb4c4649"/>
</x:worksheet>
</file>