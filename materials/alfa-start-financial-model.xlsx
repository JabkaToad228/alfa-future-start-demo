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9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bobrmac/Downloads/"/>
    </mc:Choice>
  </mc:AlternateContent>
  <xr:revisionPtr revIDLastSave="0" documentId="8_{1BC2B518-46D0-B043-91FA-3D661BD25F63}" xr6:coauthVersionLast="47" xr6:coauthVersionMax="47" xr10:uidLastSave="{00000000-0000-0000-0000-000000000000}"/>
  <bookViews>
    <workbookView xWindow="0" yWindow="660" windowWidth="34560" windowHeight="21680" activeTab="8" xr2:uid="{00000000-000D-0000-FFFF-FFFF00000000}"/>
  </bookViews>
  <sheets>
    <sheet name="Assumptions" sheetId="1" r:id="rId1"/>
    <sheet name="Operating Model" sheetId="2" r:id="rId2"/>
    <sheet name="Banking Revenue" sheetId="3" r:id="rId3"/>
    <sheet name="Costs" sheetId="4" r:id="rId4"/>
    <sheet name="P&amp;L" sheetId="5" r:id="rId5"/>
    <sheet name="Cash Flow" sheetId="6" r:id="rId6"/>
    <sheet name="DCF" sheetId="7" r:id="rId7"/>
    <sheet name="Scenarios" sheetId="8" r:id="rId8"/>
    <sheet name="Summary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9" i="8" l="1"/>
  <c r="X89" i="8"/>
  <c r="W89" i="8"/>
  <c r="V89" i="8"/>
  <c r="U89" i="8"/>
  <c r="T89" i="8"/>
  <c r="S89" i="8"/>
  <c r="R89" i="8"/>
  <c r="Q89" i="8"/>
  <c r="P89" i="8"/>
  <c r="O89" i="8"/>
  <c r="N89" i="8"/>
  <c r="M89" i="8"/>
  <c r="L89" i="8"/>
  <c r="K89" i="8"/>
  <c r="J89" i="8"/>
  <c r="I89" i="8"/>
  <c r="H89" i="8"/>
  <c r="G89" i="8"/>
  <c r="F89" i="8"/>
  <c r="E89" i="8"/>
  <c r="D89" i="8"/>
  <c r="C89" i="8"/>
  <c r="B89" i="8"/>
  <c r="Z89" i="8" s="1"/>
  <c r="C69" i="8"/>
  <c r="V51" i="8"/>
  <c r="J51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D12" i="8"/>
  <c r="C12" i="8"/>
  <c r="B12" i="8"/>
  <c r="D11" i="8"/>
  <c r="C11" i="8"/>
  <c r="B11" i="8"/>
  <c r="D10" i="8"/>
  <c r="C10" i="8"/>
  <c r="B10" i="8"/>
  <c r="D9" i="8"/>
  <c r="C9" i="8"/>
  <c r="B9" i="8"/>
  <c r="D8" i="8"/>
  <c r="C8" i="8"/>
  <c r="B8" i="8"/>
  <c r="D7" i="8"/>
  <c r="C7" i="8"/>
  <c r="B7" i="8"/>
  <c r="D6" i="8"/>
  <c r="C6" i="8"/>
  <c r="B6" i="8"/>
  <c r="AE5" i="8"/>
  <c r="AE4" i="8"/>
  <c r="AE3" i="8"/>
  <c r="AH2" i="8"/>
  <c r="AG2" i="8"/>
  <c r="AF2" i="8"/>
  <c r="AE2" i="8"/>
  <c r="B14" i="7"/>
  <c r="B13" i="7"/>
  <c r="X8" i="7"/>
  <c r="T8" i="7"/>
  <c r="R8" i="7"/>
  <c r="P8" i="7"/>
  <c r="O8" i="7"/>
  <c r="N8" i="7"/>
  <c r="M8" i="7"/>
  <c r="D8" i="7"/>
  <c r="C8" i="7"/>
  <c r="B8" i="7"/>
  <c r="Y21" i="6"/>
  <c r="X21" i="6"/>
  <c r="W21" i="6"/>
  <c r="W51" i="8" s="1"/>
  <c r="V21" i="6"/>
  <c r="V71" i="8" s="1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I8" i="7" s="1"/>
  <c r="H21" i="6"/>
  <c r="G21" i="6"/>
  <c r="F21" i="6"/>
  <c r="E21" i="6"/>
  <c r="D21" i="6"/>
  <c r="C21" i="6"/>
  <c r="C71" i="8" s="1"/>
  <c r="B21" i="6"/>
  <c r="I16" i="6"/>
  <c r="Y15" i="6"/>
  <c r="Y69" i="8" s="1"/>
  <c r="X15" i="6"/>
  <c r="X69" i="8" s="1"/>
  <c r="W15" i="6"/>
  <c r="W69" i="8" s="1"/>
  <c r="V15" i="6"/>
  <c r="V69" i="8" s="1"/>
  <c r="U15" i="6"/>
  <c r="U69" i="8" s="1"/>
  <c r="T15" i="6"/>
  <c r="T69" i="8" s="1"/>
  <c r="S15" i="6"/>
  <c r="S69" i="8" s="1"/>
  <c r="R15" i="6"/>
  <c r="R69" i="8" s="1"/>
  <c r="Q15" i="6"/>
  <c r="Q69" i="8" s="1"/>
  <c r="P15" i="6"/>
  <c r="P69" i="8" s="1"/>
  <c r="O15" i="6"/>
  <c r="O69" i="8" s="1"/>
  <c r="N15" i="6"/>
  <c r="N69" i="8" s="1"/>
  <c r="M15" i="6"/>
  <c r="M69" i="8" s="1"/>
  <c r="L15" i="6"/>
  <c r="L69" i="8" s="1"/>
  <c r="K15" i="6"/>
  <c r="K69" i="8" s="1"/>
  <c r="J15" i="6"/>
  <c r="J69" i="8" s="1"/>
  <c r="I15" i="6"/>
  <c r="I69" i="8" s="1"/>
  <c r="H15" i="6"/>
  <c r="H69" i="8" s="1"/>
  <c r="G15" i="6"/>
  <c r="G69" i="8" s="1"/>
  <c r="F15" i="6"/>
  <c r="F69" i="8" s="1"/>
  <c r="E15" i="6"/>
  <c r="E69" i="8" s="1"/>
  <c r="D15" i="6"/>
  <c r="D69" i="8" s="1"/>
  <c r="C15" i="6"/>
  <c r="B15" i="6"/>
  <c r="U14" i="6"/>
  <c r="Y18" i="5"/>
  <c r="X18" i="5"/>
  <c r="S18" i="5"/>
  <c r="O18" i="5"/>
  <c r="N18" i="5"/>
  <c r="I18" i="5"/>
  <c r="E18" i="5"/>
  <c r="Y26" i="4"/>
  <c r="Y16" i="6" s="1"/>
  <c r="X26" i="4"/>
  <c r="X16" i="6" s="1"/>
  <c r="W26" i="4"/>
  <c r="W16" i="6" s="1"/>
  <c r="V26" i="4"/>
  <c r="V16" i="6" s="1"/>
  <c r="U26" i="4"/>
  <c r="U16" i="6" s="1"/>
  <c r="T26" i="4"/>
  <c r="T16" i="6" s="1"/>
  <c r="S26" i="4"/>
  <c r="S16" i="6" s="1"/>
  <c r="R26" i="4"/>
  <c r="R16" i="6" s="1"/>
  <c r="Q26" i="4"/>
  <c r="Q16" i="6" s="1"/>
  <c r="P26" i="4"/>
  <c r="P16" i="6" s="1"/>
  <c r="O26" i="4"/>
  <c r="O16" i="6" s="1"/>
  <c r="N26" i="4"/>
  <c r="M26" i="4"/>
  <c r="M16" i="6" s="1"/>
  <c r="L26" i="4"/>
  <c r="L16" i="6" s="1"/>
  <c r="K26" i="4"/>
  <c r="K16" i="6" s="1"/>
  <c r="J26" i="4"/>
  <c r="J16" i="6" s="1"/>
  <c r="I26" i="4"/>
  <c r="H26" i="4"/>
  <c r="H16" i="6" s="1"/>
  <c r="G26" i="4"/>
  <c r="G16" i="6" s="1"/>
  <c r="F26" i="4"/>
  <c r="F16" i="6" s="1"/>
  <c r="E26" i="4"/>
  <c r="E16" i="6" s="1"/>
  <c r="D26" i="4"/>
  <c r="D16" i="6" s="1"/>
  <c r="C26" i="4"/>
  <c r="C16" i="6" s="1"/>
  <c r="B26" i="4"/>
  <c r="Y25" i="4"/>
  <c r="X25" i="4"/>
  <c r="W25" i="4"/>
  <c r="W18" i="5" s="1"/>
  <c r="V25" i="4"/>
  <c r="V18" i="5" s="1"/>
  <c r="U25" i="4"/>
  <c r="U18" i="5" s="1"/>
  <c r="T25" i="4"/>
  <c r="T18" i="5" s="1"/>
  <c r="S25" i="4"/>
  <c r="R25" i="4"/>
  <c r="R18" i="5" s="1"/>
  <c r="Q25" i="4"/>
  <c r="Q18" i="5" s="1"/>
  <c r="P25" i="4"/>
  <c r="O25" i="4"/>
  <c r="N25" i="4"/>
  <c r="M25" i="4"/>
  <c r="M18" i="5" s="1"/>
  <c r="L25" i="4"/>
  <c r="L18" i="5" s="1"/>
  <c r="K25" i="4"/>
  <c r="K18" i="5" s="1"/>
  <c r="J25" i="4"/>
  <c r="J18" i="5" s="1"/>
  <c r="I25" i="4"/>
  <c r="H25" i="4"/>
  <c r="H18" i="5" s="1"/>
  <c r="G25" i="4"/>
  <c r="G18" i="5" s="1"/>
  <c r="F25" i="4"/>
  <c r="F18" i="5" s="1"/>
  <c r="E25" i="4"/>
  <c r="D25" i="4"/>
  <c r="D18" i="5" s="1"/>
  <c r="C25" i="4"/>
  <c r="B25" i="4"/>
  <c r="B18" i="5" s="1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Y19" i="4"/>
  <c r="X19" i="4"/>
  <c r="W19" i="4"/>
  <c r="V19" i="4"/>
  <c r="U19" i="4"/>
  <c r="T19" i="4"/>
  <c r="S19" i="4"/>
  <c r="R19" i="4"/>
  <c r="Q19" i="4"/>
  <c r="P19" i="4"/>
  <c r="O19" i="4"/>
  <c r="N19" i="4"/>
  <c r="AA19" i="4" s="1"/>
  <c r="M19" i="4"/>
  <c r="L19" i="4"/>
  <c r="K19" i="4"/>
  <c r="J19" i="4"/>
  <c r="I19" i="4"/>
  <c r="H19" i="4"/>
  <c r="G19" i="4"/>
  <c r="F19" i="4"/>
  <c r="E19" i="4"/>
  <c r="D19" i="4"/>
  <c r="C19" i="4"/>
  <c r="Z19" i="4" s="1"/>
  <c r="B19" i="4"/>
  <c r="Y15" i="4"/>
  <c r="Y14" i="5" s="1"/>
  <c r="X15" i="4"/>
  <c r="W15" i="4"/>
  <c r="V15" i="4"/>
  <c r="U15" i="4"/>
  <c r="T15" i="4"/>
  <c r="S15" i="4"/>
  <c r="R15" i="4"/>
  <c r="Q15" i="4"/>
  <c r="P15" i="4"/>
  <c r="O15" i="4"/>
  <c r="O14" i="5" s="1"/>
  <c r="N15" i="4"/>
  <c r="M15" i="4"/>
  <c r="L15" i="4"/>
  <c r="K15" i="4"/>
  <c r="J15" i="4"/>
  <c r="I15" i="4"/>
  <c r="H15" i="4"/>
  <c r="G15" i="4"/>
  <c r="F15" i="4"/>
  <c r="E15" i="4"/>
  <c r="E14" i="5" s="1"/>
  <c r="D15" i="4"/>
  <c r="C15" i="4"/>
  <c r="B15" i="4"/>
  <c r="Y14" i="4"/>
  <c r="X14" i="4"/>
  <c r="W14" i="4"/>
  <c r="V14" i="4"/>
  <c r="U14" i="4"/>
  <c r="U13" i="5" s="1"/>
  <c r="T14" i="4"/>
  <c r="S14" i="4"/>
  <c r="R14" i="4"/>
  <c r="Q14" i="4"/>
  <c r="P14" i="4"/>
  <c r="O14" i="4"/>
  <c r="N14" i="4"/>
  <c r="M14" i="4"/>
  <c r="L14" i="4"/>
  <c r="K14" i="4"/>
  <c r="K14" i="6" s="1"/>
  <c r="J14" i="4"/>
  <c r="I14" i="4"/>
  <c r="H14" i="4"/>
  <c r="G14" i="4"/>
  <c r="F14" i="4"/>
  <c r="E14" i="4"/>
  <c r="D14" i="4"/>
  <c r="C14" i="4"/>
  <c r="B14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Y9" i="4"/>
  <c r="X9" i="4"/>
  <c r="W9" i="4"/>
  <c r="V9" i="4"/>
  <c r="U9" i="4"/>
  <c r="T9" i="4"/>
  <c r="S9" i="4"/>
  <c r="R9" i="4"/>
  <c r="Q9" i="4"/>
  <c r="P9" i="4"/>
  <c r="O9" i="4"/>
  <c r="AA9" i="4" s="1"/>
  <c r="N9" i="4"/>
  <c r="M9" i="4"/>
  <c r="L9" i="4"/>
  <c r="K9" i="4"/>
  <c r="J9" i="4"/>
  <c r="I9" i="4"/>
  <c r="H9" i="4"/>
  <c r="G9" i="4"/>
  <c r="F9" i="4"/>
  <c r="E9" i="4"/>
  <c r="D9" i="4"/>
  <c r="Z9" i="4" s="1"/>
  <c r="C9" i="4"/>
  <c r="B9" i="4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Y8" i="3"/>
  <c r="X8" i="3"/>
  <c r="W8" i="3"/>
  <c r="AA8" i="3" s="1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C30" i="2"/>
  <c r="D29" i="2"/>
  <c r="D30" i="2" s="1"/>
  <c r="C29" i="2"/>
  <c r="B29" i="2"/>
  <c r="B30" i="2" s="1"/>
  <c r="B8" i="2"/>
  <c r="B40" i="1"/>
  <c r="AD20" i="1"/>
  <c r="AC20" i="1"/>
  <c r="AB20" i="1"/>
  <c r="AA20" i="1"/>
  <c r="AD19" i="1"/>
  <c r="AC19" i="1"/>
  <c r="AB19" i="1"/>
  <c r="AA19" i="1"/>
  <c r="AD18" i="1"/>
  <c r="AC18" i="1"/>
  <c r="AB18" i="1"/>
  <c r="AA18" i="1"/>
  <c r="AD17" i="1"/>
  <c r="AC17" i="1"/>
  <c r="AB17" i="1"/>
  <c r="AA17" i="1"/>
  <c r="AD16" i="1"/>
  <c r="AC16" i="1"/>
  <c r="AB16" i="1"/>
  <c r="AA16" i="1"/>
  <c r="AD15" i="1"/>
  <c r="AC15" i="1"/>
  <c r="AB15" i="1"/>
  <c r="AA15" i="1"/>
  <c r="AD14" i="1"/>
  <c r="AC14" i="1"/>
  <c r="AB14" i="1"/>
  <c r="AA14" i="1"/>
  <c r="AB12" i="1"/>
  <c r="AB11" i="1"/>
  <c r="AB10" i="1"/>
  <c r="AB9" i="1"/>
  <c r="AB8" i="1"/>
  <c r="B7" i="1"/>
  <c r="AB5" i="1" s="1"/>
  <c r="AA5" i="1"/>
  <c r="AB4" i="1"/>
  <c r="AA4" i="1"/>
  <c r="AB3" i="1"/>
  <c r="AA3" i="1"/>
  <c r="D50" i="2" l="1"/>
  <c r="D34" i="2"/>
  <c r="D35" i="2" s="1"/>
  <c r="D51" i="2" s="1"/>
  <c r="B50" i="2"/>
  <c r="B34" i="2"/>
  <c r="B31" i="2"/>
  <c r="C31" i="2" s="1"/>
  <c r="D31" i="2" s="1"/>
  <c r="B11" i="2"/>
  <c r="C8" i="2"/>
  <c r="C34" i="2"/>
  <c r="C35" i="2" s="1"/>
  <c r="C51" i="2" s="1"/>
  <c r="C50" i="2"/>
  <c r="H88" i="8"/>
  <c r="H48" i="8"/>
  <c r="H14" i="6"/>
  <c r="H13" i="5"/>
  <c r="B15" i="2"/>
  <c r="Z10" i="3"/>
  <c r="AA10" i="3"/>
  <c r="D88" i="8"/>
  <c r="D48" i="8"/>
  <c r="D13" i="5"/>
  <c r="D14" i="6"/>
  <c r="N88" i="8"/>
  <c r="N48" i="8"/>
  <c r="N14" i="6"/>
  <c r="N13" i="5"/>
  <c r="AA14" i="4"/>
  <c r="X88" i="8"/>
  <c r="X48" i="8"/>
  <c r="X14" i="6"/>
  <c r="X13" i="5"/>
  <c r="Z22" i="4"/>
  <c r="E88" i="8"/>
  <c r="E48" i="8"/>
  <c r="E13" i="5"/>
  <c r="E14" i="6"/>
  <c r="O88" i="8"/>
  <c r="O48" i="8"/>
  <c r="O14" i="6"/>
  <c r="Y48" i="8"/>
  <c r="Y88" i="8"/>
  <c r="Y14" i="6"/>
  <c r="Y13" i="5"/>
  <c r="B78" i="8"/>
  <c r="B58" i="8"/>
  <c r="B38" i="8"/>
  <c r="B14" i="5"/>
  <c r="Z15" i="4"/>
  <c r="C18" i="5"/>
  <c r="Z18" i="5" s="1"/>
  <c r="Z25" i="4"/>
  <c r="O13" i="5"/>
  <c r="Z8" i="3"/>
  <c r="C78" i="8"/>
  <c r="C58" i="8"/>
  <c r="C38" i="8"/>
  <c r="C14" i="5"/>
  <c r="M78" i="8"/>
  <c r="M58" i="8"/>
  <c r="M38" i="8"/>
  <c r="M14" i="5"/>
  <c r="W78" i="8"/>
  <c r="W58" i="8"/>
  <c r="W38" i="8"/>
  <c r="W14" i="5"/>
  <c r="R88" i="8"/>
  <c r="R48" i="8"/>
  <c r="R14" i="6"/>
  <c r="R13" i="5"/>
  <c r="D58" i="8"/>
  <c r="D78" i="8"/>
  <c r="D38" i="8"/>
  <c r="D14" i="5"/>
  <c r="N78" i="8"/>
  <c r="N58" i="8"/>
  <c r="N38" i="8"/>
  <c r="N14" i="5"/>
  <c r="X58" i="8"/>
  <c r="X78" i="8"/>
  <c r="X38" i="8"/>
  <c r="X14" i="5"/>
  <c r="Z11" i="4"/>
  <c r="I48" i="8"/>
  <c r="I88" i="8"/>
  <c r="I14" i="6"/>
  <c r="I13" i="5"/>
  <c r="S88" i="8"/>
  <c r="S14" i="6"/>
  <c r="S48" i="8"/>
  <c r="S13" i="5"/>
  <c r="AA11" i="4"/>
  <c r="AA15" i="4"/>
  <c r="Q78" i="8"/>
  <c r="Q58" i="8"/>
  <c r="Q38" i="8"/>
  <c r="Q14" i="5"/>
  <c r="N16" i="6"/>
  <c r="AA16" i="6" s="1"/>
  <c r="AA26" i="4"/>
  <c r="B88" i="8"/>
  <c r="B48" i="8"/>
  <c r="B13" i="5"/>
  <c r="B14" i="6"/>
  <c r="Z14" i="4"/>
  <c r="L88" i="8"/>
  <c r="L48" i="8"/>
  <c r="L14" i="6"/>
  <c r="L13" i="5"/>
  <c r="V88" i="8"/>
  <c r="V48" i="8"/>
  <c r="V13" i="5"/>
  <c r="V14" i="6"/>
  <c r="H38" i="8"/>
  <c r="H78" i="8"/>
  <c r="H58" i="8"/>
  <c r="H14" i="5"/>
  <c r="R78" i="8"/>
  <c r="R38" i="8"/>
  <c r="R58" i="8"/>
  <c r="R14" i="5"/>
  <c r="G78" i="8"/>
  <c r="G58" i="8"/>
  <c r="G38" i="8"/>
  <c r="G14" i="5"/>
  <c r="B8" i="1"/>
  <c r="B7" i="2" s="1"/>
  <c r="C88" i="8"/>
  <c r="C48" i="8"/>
  <c r="C14" i="6"/>
  <c r="C13" i="5"/>
  <c r="M88" i="8"/>
  <c r="M48" i="8"/>
  <c r="M14" i="6"/>
  <c r="M13" i="5"/>
  <c r="W88" i="8"/>
  <c r="W48" i="8"/>
  <c r="W14" i="6"/>
  <c r="W13" i="5"/>
  <c r="I78" i="8"/>
  <c r="I58" i="8"/>
  <c r="I38" i="8"/>
  <c r="I14" i="5"/>
  <c r="S78" i="8"/>
  <c r="S38" i="8"/>
  <c r="S58" i="8"/>
  <c r="S14" i="5"/>
  <c r="J78" i="8"/>
  <c r="J58" i="8"/>
  <c r="J38" i="8"/>
  <c r="J14" i="5"/>
  <c r="T38" i="8"/>
  <c r="T78" i="8"/>
  <c r="T58" i="8"/>
  <c r="T14" i="5"/>
  <c r="F88" i="8"/>
  <c r="F48" i="8"/>
  <c r="F14" i="6"/>
  <c r="P88" i="8"/>
  <c r="P48" i="8"/>
  <c r="P14" i="6"/>
  <c r="P13" i="5"/>
  <c r="P18" i="5"/>
  <c r="AA25" i="4"/>
  <c r="L78" i="8"/>
  <c r="L58" i="8"/>
  <c r="L14" i="5"/>
  <c r="L38" i="8"/>
  <c r="V78" i="8"/>
  <c r="V58" i="8"/>
  <c r="V38" i="8"/>
  <c r="V14" i="5"/>
  <c r="B16" i="6"/>
  <c r="Z16" i="6" s="1"/>
  <c r="Z26" i="4"/>
  <c r="J48" i="8"/>
  <c r="J88" i="8"/>
  <c r="J14" i="6"/>
  <c r="J13" i="5"/>
  <c r="T88" i="8"/>
  <c r="T14" i="6"/>
  <c r="T48" i="8"/>
  <c r="T13" i="5"/>
  <c r="AA22" i="4"/>
  <c r="F13" i="5"/>
  <c r="K68" i="8"/>
  <c r="K17" i="6"/>
  <c r="F78" i="8"/>
  <c r="F58" i="8"/>
  <c r="F38" i="8"/>
  <c r="F14" i="5"/>
  <c r="P78" i="8"/>
  <c r="P58" i="8"/>
  <c r="P38" i="8"/>
  <c r="P14" i="5"/>
  <c r="G13" i="5"/>
  <c r="AA18" i="5"/>
  <c r="B69" i="8"/>
  <c r="Z69" i="8" s="1"/>
  <c r="Z15" i="6"/>
  <c r="G88" i="8"/>
  <c r="G48" i="8"/>
  <c r="G14" i="6"/>
  <c r="Q88" i="8"/>
  <c r="Q14" i="6"/>
  <c r="Q13" i="5"/>
  <c r="Q48" i="8"/>
  <c r="K78" i="8"/>
  <c r="K58" i="8"/>
  <c r="K38" i="8"/>
  <c r="K14" i="5"/>
  <c r="U58" i="8"/>
  <c r="U78" i="8"/>
  <c r="U14" i="5"/>
  <c r="U38" i="8"/>
  <c r="K71" i="8"/>
  <c r="K91" i="8"/>
  <c r="K8" i="7"/>
  <c r="K51" i="8"/>
  <c r="U91" i="8"/>
  <c r="U71" i="8"/>
  <c r="U8" i="7"/>
  <c r="AA8" i="7" s="1"/>
  <c r="U51" i="8"/>
  <c r="AA69" i="8"/>
  <c r="E91" i="8"/>
  <c r="E51" i="8"/>
  <c r="E71" i="8"/>
  <c r="O91" i="8"/>
  <c r="O51" i="8"/>
  <c r="O71" i="8"/>
  <c r="Y91" i="8"/>
  <c r="Y51" i="8"/>
  <c r="Y71" i="8"/>
  <c r="B16" i="7"/>
  <c r="F71" i="8"/>
  <c r="F51" i="8"/>
  <c r="F91" i="8"/>
  <c r="P71" i="8"/>
  <c r="P51" i="8"/>
  <c r="P91" i="8"/>
  <c r="Z21" i="6"/>
  <c r="E8" i="7"/>
  <c r="Z8" i="7" s="1"/>
  <c r="Y8" i="7"/>
  <c r="U68" i="8"/>
  <c r="U17" i="6"/>
  <c r="G71" i="8"/>
  <c r="G51" i="8"/>
  <c r="G91" i="8"/>
  <c r="G8" i="7"/>
  <c r="Q71" i="8"/>
  <c r="Q51" i="8"/>
  <c r="Q91" i="8"/>
  <c r="Q8" i="7"/>
  <c r="AA21" i="6"/>
  <c r="F8" i="7"/>
  <c r="K13" i="5"/>
  <c r="AA15" i="6"/>
  <c r="H91" i="8"/>
  <c r="H71" i="8"/>
  <c r="H51" i="8"/>
  <c r="H8" i="7"/>
  <c r="R91" i="8"/>
  <c r="R71" i="8"/>
  <c r="R51" i="8"/>
  <c r="K48" i="8"/>
  <c r="K88" i="8"/>
  <c r="U88" i="8"/>
  <c r="U48" i="8"/>
  <c r="E58" i="8"/>
  <c r="E78" i="8"/>
  <c r="E38" i="8"/>
  <c r="O78" i="8"/>
  <c r="O58" i="8"/>
  <c r="O38" i="8"/>
  <c r="Y58" i="8"/>
  <c r="Y78" i="8"/>
  <c r="Y38" i="8"/>
  <c r="I91" i="8"/>
  <c r="I71" i="8"/>
  <c r="I51" i="8"/>
  <c r="S91" i="8"/>
  <c r="S71" i="8"/>
  <c r="S51" i="8"/>
  <c r="S8" i="7"/>
  <c r="J91" i="8"/>
  <c r="J71" i="8"/>
  <c r="T91" i="8"/>
  <c r="T51" i="8"/>
  <c r="B71" i="8"/>
  <c r="Z71" i="8" s="1"/>
  <c r="B51" i="8"/>
  <c r="L71" i="8"/>
  <c r="L91" i="8"/>
  <c r="L51" i="8"/>
  <c r="J8" i="7"/>
  <c r="B91" i="8"/>
  <c r="M71" i="8"/>
  <c r="M91" i="8"/>
  <c r="M51" i="8"/>
  <c r="W71" i="8"/>
  <c r="W91" i="8"/>
  <c r="V8" i="7"/>
  <c r="AA49" i="8"/>
  <c r="C51" i="8"/>
  <c r="T71" i="8"/>
  <c r="C91" i="8"/>
  <c r="D91" i="8"/>
  <c r="D51" i="8"/>
  <c r="D71" i="8"/>
  <c r="N91" i="8"/>
  <c r="N71" i="8"/>
  <c r="N51" i="8"/>
  <c r="X91" i="8"/>
  <c r="X51" i="8"/>
  <c r="X71" i="8"/>
  <c r="L8" i="7"/>
  <c r="W8" i="7"/>
  <c r="V91" i="8"/>
  <c r="Z49" i="8"/>
  <c r="AA89" i="8"/>
  <c r="Q68" i="8" l="1"/>
  <c r="Q17" i="6"/>
  <c r="AA14" i="5"/>
  <c r="E68" i="8"/>
  <c r="E17" i="6"/>
  <c r="F68" i="8"/>
  <c r="F17" i="6"/>
  <c r="C68" i="8"/>
  <c r="C17" i="6"/>
  <c r="D8" i="2"/>
  <c r="C15" i="2"/>
  <c r="C40" i="2" s="1"/>
  <c r="C41" i="2" s="1"/>
  <c r="C42" i="2" s="1"/>
  <c r="W68" i="8"/>
  <c r="W17" i="6"/>
  <c r="V68" i="8"/>
  <c r="V17" i="6"/>
  <c r="B68" i="8"/>
  <c r="B17" i="6"/>
  <c r="Z14" i="6"/>
  <c r="Z14" i="5"/>
  <c r="Y68" i="8"/>
  <c r="Y17" i="6"/>
  <c r="C11" i="2"/>
  <c r="D11" i="2" s="1"/>
  <c r="G68" i="8"/>
  <c r="G17" i="6"/>
  <c r="T68" i="8"/>
  <c r="T17" i="6"/>
  <c r="Z91" i="8"/>
  <c r="AA38" i="8"/>
  <c r="AA51" i="8"/>
  <c r="B14" i="2"/>
  <c r="B9" i="2"/>
  <c r="C7" i="2"/>
  <c r="B10" i="2"/>
  <c r="C10" i="2" s="1"/>
  <c r="Z48" i="8"/>
  <c r="AA58" i="8"/>
  <c r="R68" i="8"/>
  <c r="R17" i="6"/>
  <c r="Z38" i="8"/>
  <c r="AA13" i="5"/>
  <c r="H68" i="8"/>
  <c r="H17" i="6"/>
  <c r="R22" i="5"/>
  <c r="H22" i="5"/>
  <c r="Q22" i="5"/>
  <c r="G22" i="5"/>
  <c r="X22" i="5"/>
  <c r="N22" i="5"/>
  <c r="D22" i="5"/>
  <c r="W22" i="5"/>
  <c r="M22" i="5"/>
  <c r="C22" i="5"/>
  <c r="T22" i="5"/>
  <c r="B22" i="5"/>
  <c r="S22" i="5"/>
  <c r="P22" i="5"/>
  <c r="L22" i="5"/>
  <c r="J22" i="5"/>
  <c r="Z13" i="5"/>
  <c r="U22" i="5"/>
  <c r="E22" i="5"/>
  <c r="Y22" i="5"/>
  <c r="V22" i="5"/>
  <c r="O22" i="5"/>
  <c r="I22" i="5"/>
  <c r="F22" i="5"/>
  <c r="K22" i="5"/>
  <c r="AA71" i="8"/>
  <c r="Z51" i="8"/>
  <c r="Z88" i="8"/>
  <c r="S68" i="8"/>
  <c r="S17" i="6"/>
  <c r="AA78" i="8"/>
  <c r="Z58" i="8"/>
  <c r="N68" i="8"/>
  <c r="N17" i="6"/>
  <c r="AA17" i="6" s="1"/>
  <c r="AA14" i="6"/>
  <c r="Z78" i="8"/>
  <c r="O68" i="8"/>
  <c r="O17" i="6"/>
  <c r="AA48" i="8"/>
  <c r="B35" i="2"/>
  <c r="B36" i="2"/>
  <c r="AA91" i="8"/>
  <c r="J68" i="8"/>
  <c r="J17" i="6"/>
  <c r="M68" i="8"/>
  <c r="M17" i="6"/>
  <c r="P68" i="8"/>
  <c r="P17" i="6"/>
  <c r="AA88" i="8"/>
  <c r="L68" i="8"/>
  <c r="L17" i="6"/>
  <c r="X68" i="8"/>
  <c r="X17" i="6"/>
  <c r="I68" i="8"/>
  <c r="I17" i="6"/>
  <c r="D68" i="8"/>
  <c r="D17" i="6"/>
  <c r="B40" i="2"/>
  <c r="B17" i="2"/>
  <c r="D63" i="8" l="1"/>
  <c r="D83" i="8"/>
  <c r="D43" i="8"/>
  <c r="D10" i="6"/>
  <c r="B16" i="2"/>
  <c r="B7" i="3"/>
  <c r="C36" i="2"/>
  <c r="AA68" i="8"/>
  <c r="J63" i="8"/>
  <c r="J83" i="8"/>
  <c r="J43" i="8"/>
  <c r="J10" i="6"/>
  <c r="N63" i="8"/>
  <c r="N83" i="8"/>
  <c r="N43" i="8"/>
  <c r="AA22" i="5"/>
  <c r="N10" i="6"/>
  <c r="L83" i="8"/>
  <c r="L43" i="8"/>
  <c r="L63" i="8"/>
  <c r="L10" i="6"/>
  <c r="X63" i="8"/>
  <c r="X83" i="8"/>
  <c r="X43" i="8"/>
  <c r="X10" i="6"/>
  <c r="E11" i="2"/>
  <c r="C17" i="2"/>
  <c r="B22" i="2"/>
  <c r="B37" i="2"/>
  <c r="B51" i="2"/>
  <c r="F83" i="8"/>
  <c r="F63" i="8"/>
  <c r="F10" i="6"/>
  <c r="F43" i="8"/>
  <c r="P83" i="8"/>
  <c r="P63" i="8"/>
  <c r="P10" i="6"/>
  <c r="P43" i="8"/>
  <c r="G83" i="8"/>
  <c r="G63" i="8"/>
  <c r="G43" i="8"/>
  <c r="G10" i="6"/>
  <c r="Q83" i="8"/>
  <c r="Q63" i="8"/>
  <c r="Q43" i="8"/>
  <c r="Q10" i="6"/>
  <c r="I63" i="8"/>
  <c r="I83" i="8"/>
  <c r="I43" i="8"/>
  <c r="I10" i="6"/>
  <c r="S83" i="8"/>
  <c r="S63" i="8"/>
  <c r="S43" i="8"/>
  <c r="S10" i="6"/>
  <c r="O63" i="8"/>
  <c r="O83" i="8"/>
  <c r="O43" i="8"/>
  <c r="O10" i="6"/>
  <c r="B83" i="8"/>
  <c r="B43" i="8"/>
  <c r="B63" i="8"/>
  <c r="Z22" i="5"/>
  <c r="B10" i="6"/>
  <c r="H63" i="8"/>
  <c r="H43" i="8"/>
  <c r="H83" i="8"/>
  <c r="H10" i="6"/>
  <c r="D15" i="2"/>
  <c r="E8" i="2"/>
  <c r="Y63" i="8"/>
  <c r="Y83" i="8"/>
  <c r="Y43" i="8"/>
  <c r="Y10" i="6"/>
  <c r="C83" i="8"/>
  <c r="C63" i="8"/>
  <c r="C43" i="8"/>
  <c r="C10" i="6"/>
  <c r="C14" i="2"/>
  <c r="C9" i="2"/>
  <c r="C7" i="4" s="1"/>
  <c r="D7" i="2"/>
  <c r="B41" i="2"/>
  <c r="V83" i="8"/>
  <c r="V63" i="8"/>
  <c r="V43" i="8"/>
  <c r="V10" i="6"/>
  <c r="T63" i="8"/>
  <c r="T83" i="8"/>
  <c r="T43" i="8"/>
  <c r="T10" i="6"/>
  <c r="R83" i="8"/>
  <c r="R63" i="8"/>
  <c r="R43" i="8"/>
  <c r="R10" i="6"/>
  <c r="D10" i="2"/>
  <c r="M83" i="8"/>
  <c r="M63" i="8"/>
  <c r="M43" i="8"/>
  <c r="M10" i="6"/>
  <c r="Z17" i="6"/>
  <c r="K63" i="8"/>
  <c r="K83" i="8"/>
  <c r="K10" i="6"/>
  <c r="K43" i="8"/>
  <c r="E63" i="8"/>
  <c r="E83" i="8"/>
  <c r="E43" i="8"/>
  <c r="E10" i="6"/>
  <c r="U63" i="8"/>
  <c r="U83" i="8"/>
  <c r="U10" i="6"/>
  <c r="U43" i="8"/>
  <c r="W83" i="8"/>
  <c r="W63" i="8"/>
  <c r="W43" i="8"/>
  <c r="W10" i="6"/>
  <c r="B7" i="4"/>
  <c r="Z68" i="8"/>
  <c r="C37" i="2" l="1"/>
  <c r="C7" i="3"/>
  <c r="D36" i="2"/>
  <c r="AA10" i="6"/>
  <c r="F11" i="2"/>
  <c r="B23" i="3"/>
  <c r="B13" i="3"/>
  <c r="E10" i="2"/>
  <c r="C22" i="2"/>
  <c r="D17" i="2"/>
  <c r="AA43" i="8"/>
  <c r="Z10" i="6"/>
  <c r="AA83" i="8"/>
  <c r="C16" i="2"/>
  <c r="B21" i="2"/>
  <c r="B18" i="2"/>
  <c r="B10" i="4" s="1"/>
  <c r="D40" i="2"/>
  <c r="AA63" i="8"/>
  <c r="B42" i="2"/>
  <c r="D14" i="2"/>
  <c r="E7" i="2"/>
  <c r="D9" i="2"/>
  <c r="Z63" i="8"/>
  <c r="Z43" i="8"/>
  <c r="F8" i="2"/>
  <c r="E15" i="2"/>
  <c r="E40" i="2" s="1"/>
  <c r="E41" i="2" s="1"/>
  <c r="E42" i="2" s="1"/>
  <c r="Z83" i="8"/>
  <c r="B7" i="5" l="1"/>
  <c r="D7" i="4"/>
  <c r="B23" i="4"/>
  <c r="B20" i="4"/>
  <c r="C18" i="2"/>
  <c r="C10" i="4" s="1"/>
  <c r="C21" i="2"/>
  <c r="C23" i="2" s="1"/>
  <c r="C24" i="2" s="1"/>
  <c r="D16" i="2"/>
  <c r="E9" i="2"/>
  <c r="E7" i="4" s="1"/>
  <c r="F7" i="2"/>
  <c r="E14" i="2"/>
  <c r="D7" i="3"/>
  <c r="G8" i="2"/>
  <c r="F15" i="2"/>
  <c r="B23" i="2"/>
  <c r="C13" i="3"/>
  <c r="C23" i="3"/>
  <c r="B43" i="2"/>
  <c r="E17" i="2"/>
  <c r="D22" i="2"/>
  <c r="D41" i="2"/>
  <c r="D37" i="2"/>
  <c r="D13" i="3" l="1"/>
  <c r="D23" i="3"/>
  <c r="C43" i="2"/>
  <c r="B44" i="2"/>
  <c r="C7" i="5"/>
  <c r="B21" i="4"/>
  <c r="G7" i="2"/>
  <c r="F14" i="2"/>
  <c r="F9" i="2"/>
  <c r="B24" i="2"/>
  <c r="E16" i="2"/>
  <c r="D18" i="2"/>
  <c r="D10" i="4" s="1"/>
  <c r="D21" i="2"/>
  <c r="D42" i="2"/>
  <c r="C25" i="2"/>
  <c r="C47" i="2"/>
  <c r="B55" i="8"/>
  <c r="B75" i="8"/>
  <c r="B35" i="8"/>
  <c r="B24" i="4"/>
  <c r="F40" i="2"/>
  <c r="G15" i="2"/>
  <c r="G40" i="2" s="1"/>
  <c r="G41" i="2" s="1"/>
  <c r="G42" i="2" s="1"/>
  <c r="H8" i="2"/>
  <c r="C20" i="4"/>
  <c r="C21" i="4" s="1"/>
  <c r="C23" i="4"/>
  <c r="C24" i="4" s="1"/>
  <c r="F17" i="2"/>
  <c r="E22" i="2"/>
  <c r="G11" i="2"/>
  <c r="F10" i="2"/>
  <c r="G10" i="2" s="1"/>
  <c r="B25" i="2" l="1"/>
  <c r="B47" i="2"/>
  <c r="F7" i="4"/>
  <c r="H15" i="2"/>
  <c r="I8" i="2"/>
  <c r="E21" i="2"/>
  <c r="E23" i="2" s="1"/>
  <c r="E24" i="2" s="1"/>
  <c r="F16" i="2"/>
  <c r="E18" i="2"/>
  <c r="E10" i="4" s="1"/>
  <c r="C55" i="8"/>
  <c r="C75" i="8"/>
  <c r="C35" i="8"/>
  <c r="F41" i="2"/>
  <c r="B9" i="3"/>
  <c r="B53" i="2"/>
  <c r="B52" i="2"/>
  <c r="H11" i="2"/>
  <c r="I11" i="2" s="1"/>
  <c r="C48" i="2"/>
  <c r="C26" i="2"/>
  <c r="D43" i="2"/>
  <c r="C44" i="2"/>
  <c r="G17" i="2"/>
  <c r="F22" i="2"/>
  <c r="D7" i="5"/>
  <c r="G14" i="2"/>
  <c r="H7" i="2"/>
  <c r="H10" i="2" s="1"/>
  <c r="G9" i="2"/>
  <c r="G7" i="4" s="1"/>
  <c r="C17" i="5"/>
  <c r="B17" i="5"/>
  <c r="D23" i="2"/>
  <c r="C60" i="8"/>
  <c r="C80" i="8"/>
  <c r="C40" i="8"/>
  <c r="C16" i="5"/>
  <c r="D20" i="4"/>
  <c r="D23" i="4"/>
  <c r="D24" i="4" s="1"/>
  <c r="B60" i="8"/>
  <c r="B80" i="8"/>
  <c r="B40" i="8"/>
  <c r="B16" i="5"/>
  <c r="D21" i="4" l="1"/>
  <c r="G22" i="2"/>
  <c r="H17" i="2"/>
  <c r="F42" i="2"/>
  <c r="F29" i="2"/>
  <c r="F30" i="2" s="1"/>
  <c r="C49" i="2"/>
  <c r="B26" i="2"/>
  <c r="B48" i="2"/>
  <c r="E47" i="2"/>
  <c r="E25" i="2"/>
  <c r="E43" i="2"/>
  <c r="F43" i="2" s="1"/>
  <c r="G43" i="2" s="1"/>
  <c r="D44" i="2"/>
  <c r="H14" i="2"/>
  <c r="H9" i="2"/>
  <c r="H7" i="4" s="1"/>
  <c r="I7" i="2"/>
  <c r="F21" i="2"/>
  <c r="F23" i="2" s="1"/>
  <c r="F24" i="2" s="1"/>
  <c r="G16" i="2"/>
  <c r="F18" i="2"/>
  <c r="F10" i="4" s="1"/>
  <c r="B22" i="3"/>
  <c r="B14" i="3"/>
  <c r="I15" i="2"/>
  <c r="I40" i="2" s="1"/>
  <c r="I41" i="2" s="1"/>
  <c r="I42" i="2" s="1"/>
  <c r="J8" i="2"/>
  <c r="C53" i="2"/>
  <c r="C9" i="3"/>
  <c r="C52" i="2"/>
  <c r="E20" i="4"/>
  <c r="E21" i="4" s="1"/>
  <c r="E23" i="4"/>
  <c r="D75" i="8"/>
  <c r="D55" i="8"/>
  <c r="D35" i="8"/>
  <c r="D17" i="5"/>
  <c r="D24" i="2"/>
  <c r="H40" i="2"/>
  <c r="E80" i="8" l="1"/>
  <c r="E60" i="8"/>
  <c r="E40" i="8"/>
  <c r="E16" i="5"/>
  <c r="D52" i="2"/>
  <c r="D53" i="2"/>
  <c r="D9" i="3"/>
  <c r="F23" i="4"/>
  <c r="F24" i="4" s="1"/>
  <c r="F20" i="4"/>
  <c r="F21" i="4" s="1"/>
  <c r="E29" i="2"/>
  <c r="B49" i="2"/>
  <c r="K8" i="2"/>
  <c r="J15" i="2"/>
  <c r="H41" i="2"/>
  <c r="B17" i="3"/>
  <c r="B8" i="5"/>
  <c r="B15" i="3"/>
  <c r="E24" i="4"/>
  <c r="D47" i="2"/>
  <c r="D25" i="2"/>
  <c r="G21" i="2"/>
  <c r="G23" i="2" s="1"/>
  <c r="G18" i="2"/>
  <c r="G10" i="4" s="1"/>
  <c r="H16" i="2"/>
  <c r="I17" i="2"/>
  <c r="H22" i="2"/>
  <c r="F34" i="2"/>
  <c r="F35" i="2" s="1"/>
  <c r="F51" i="2" s="1"/>
  <c r="F50" i="2"/>
  <c r="D80" i="8"/>
  <c r="D60" i="8"/>
  <c r="D40" i="8"/>
  <c r="D16" i="5"/>
  <c r="C22" i="3"/>
  <c r="C14" i="3"/>
  <c r="F25" i="2"/>
  <c r="F47" i="2"/>
  <c r="J7" i="2"/>
  <c r="I9" i="2"/>
  <c r="I14" i="2"/>
  <c r="E26" i="2"/>
  <c r="E48" i="2"/>
  <c r="J11" i="2"/>
  <c r="K11" i="2" s="1"/>
  <c r="I10" i="2"/>
  <c r="D48" i="2" l="1"/>
  <c r="D26" i="2"/>
  <c r="E30" i="2"/>
  <c r="E49" i="2"/>
  <c r="H29" i="2"/>
  <c r="H30" i="2" s="1"/>
  <c r="I7" i="4"/>
  <c r="G23" i="4"/>
  <c r="G24" i="4" s="1"/>
  <c r="G20" i="4"/>
  <c r="G21" i="4" s="1"/>
  <c r="K7" i="2"/>
  <c r="J14" i="2"/>
  <c r="J9" i="2"/>
  <c r="J7" i="4" s="1"/>
  <c r="G24" i="2"/>
  <c r="B76" i="8"/>
  <c r="B56" i="8"/>
  <c r="B36" i="8"/>
  <c r="J10" i="2"/>
  <c r="K10" i="2" s="1"/>
  <c r="F26" i="2"/>
  <c r="F48" i="2"/>
  <c r="C8" i="5"/>
  <c r="C15" i="3"/>
  <c r="H42" i="2"/>
  <c r="H43" i="2" s="1"/>
  <c r="I43" i="2" s="1"/>
  <c r="F40" i="8"/>
  <c r="F60" i="8"/>
  <c r="F80" i="8"/>
  <c r="F16" i="5"/>
  <c r="F17" i="5"/>
  <c r="E17" i="5"/>
  <c r="J40" i="2"/>
  <c r="D22" i="3"/>
  <c r="D14" i="3"/>
  <c r="I22" i="2"/>
  <c r="J17" i="2"/>
  <c r="I16" i="2"/>
  <c r="H18" i="2"/>
  <c r="H10" i="4" s="1"/>
  <c r="H21" i="2"/>
  <c r="B9" i="5"/>
  <c r="B20" i="3"/>
  <c r="B21" i="3"/>
  <c r="B16" i="3"/>
  <c r="K15" i="2"/>
  <c r="K40" i="2" s="1"/>
  <c r="K41" i="2" s="1"/>
  <c r="K42" i="2" s="1"/>
  <c r="L8" i="2"/>
  <c r="I18" i="2" l="1"/>
  <c r="I10" i="4" s="1"/>
  <c r="J16" i="2"/>
  <c r="I21" i="2"/>
  <c r="I23" i="2" s="1"/>
  <c r="I24" i="2" s="1"/>
  <c r="C56" i="8"/>
  <c r="C76" i="8"/>
  <c r="C77" i="8" s="1"/>
  <c r="C36" i="8"/>
  <c r="C37" i="8" s="1"/>
  <c r="M8" i="2"/>
  <c r="L15" i="2"/>
  <c r="L40" i="2" s="1"/>
  <c r="L41" i="2" s="1"/>
  <c r="L42" i="2" s="1"/>
  <c r="G80" i="8"/>
  <c r="G60" i="8"/>
  <c r="G40" i="8"/>
  <c r="G16" i="5"/>
  <c r="D8" i="5"/>
  <c r="D15" i="3"/>
  <c r="G17" i="5"/>
  <c r="G25" i="2"/>
  <c r="G47" i="2"/>
  <c r="L11" i="2"/>
  <c r="J22" i="2"/>
  <c r="K17" i="2"/>
  <c r="E50" i="2"/>
  <c r="E34" i="2"/>
  <c r="E31" i="2"/>
  <c r="F31" i="2" s="1"/>
  <c r="F49" i="2"/>
  <c r="I29" i="2"/>
  <c r="I30" i="2" s="1"/>
  <c r="K14" i="2"/>
  <c r="K9" i="2"/>
  <c r="K7" i="4" s="1"/>
  <c r="L7" i="2"/>
  <c r="D49" i="2"/>
  <c r="G29" i="2"/>
  <c r="B57" i="8"/>
  <c r="B31" i="5"/>
  <c r="J41" i="2"/>
  <c r="H23" i="2"/>
  <c r="C9" i="5"/>
  <c r="C20" i="3"/>
  <c r="C21" i="3"/>
  <c r="C16" i="3"/>
  <c r="B77" i="8"/>
  <c r="B37" i="8"/>
  <c r="H20" i="4"/>
  <c r="H23" i="4"/>
  <c r="C17" i="3"/>
  <c r="H50" i="2"/>
  <c r="H34" i="2"/>
  <c r="H35" i="2" s="1"/>
  <c r="H51" i="2" s="1"/>
  <c r="D76" i="8" l="1"/>
  <c r="D77" i="8" s="1"/>
  <c r="D56" i="8"/>
  <c r="D36" i="8"/>
  <c r="D37" i="8" s="1"/>
  <c r="J42" i="2"/>
  <c r="J43" i="2" s="1"/>
  <c r="K43" i="2" s="1"/>
  <c r="L43" i="2" s="1"/>
  <c r="M11" i="2"/>
  <c r="I47" i="2"/>
  <c r="I25" i="2"/>
  <c r="E35" i="2"/>
  <c r="E36" i="2"/>
  <c r="N8" i="2"/>
  <c r="M15" i="2"/>
  <c r="Z8" i="2"/>
  <c r="G30" i="2"/>
  <c r="G31" i="2" s="1"/>
  <c r="H31" i="2" s="1"/>
  <c r="I31" i="2" s="1"/>
  <c r="H24" i="4"/>
  <c r="J18" i="2"/>
  <c r="J10" i="4" s="1"/>
  <c r="K16" i="2"/>
  <c r="J21" i="2"/>
  <c r="J23" i="2" s="1"/>
  <c r="J24" i="2" s="1"/>
  <c r="I23" i="4"/>
  <c r="I24" i="4" s="1"/>
  <c r="I20" i="4"/>
  <c r="I21" i="4" s="1"/>
  <c r="C57" i="8"/>
  <c r="C10" i="5"/>
  <c r="C31" i="5"/>
  <c r="G26" i="2"/>
  <c r="G48" i="2"/>
  <c r="K22" i="2"/>
  <c r="L17" i="2"/>
  <c r="L9" i="2"/>
  <c r="L7" i="4" s="1"/>
  <c r="M7" i="2"/>
  <c r="L14" i="2"/>
  <c r="H21" i="4"/>
  <c r="I50" i="2"/>
  <c r="I34" i="2"/>
  <c r="I35" i="2" s="1"/>
  <c r="I51" i="2" s="1"/>
  <c r="L10" i="2"/>
  <c r="D9" i="5"/>
  <c r="D21" i="3"/>
  <c r="D20" i="3"/>
  <c r="D16" i="3"/>
  <c r="H24" i="2"/>
  <c r="D17" i="3"/>
  <c r="Z11" i="2" l="1"/>
  <c r="N11" i="2"/>
  <c r="J20" i="4"/>
  <c r="J21" i="4" s="1"/>
  <c r="J23" i="4"/>
  <c r="J24" i="4" s="1"/>
  <c r="E51" i="2"/>
  <c r="E37" i="2"/>
  <c r="D57" i="8"/>
  <c r="D10" i="5"/>
  <c r="D31" i="5"/>
  <c r="M14" i="2"/>
  <c r="Z14" i="2" s="1"/>
  <c r="M9" i="2"/>
  <c r="N7" i="2"/>
  <c r="Z7" i="2"/>
  <c r="G34" i="2"/>
  <c r="G50" i="2"/>
  <c r="H17" i="5"/>
  <c r="I26" i="2"/>
  <c r="I48" i="2"/>
  <c r="J25" i="2"/>
  <c r="J47" i="2"/>
  <c r="K21" i="2"/>
  <c r="K23" i="2" s="1"/>
  <c r="K24" i="2" s="1"/>
  <c r="K18" i="2"/>
  <c r="K10" i="4" s="1"/>
  <c r="L16" i="2"/>
  <c r="M17" i="2"/>
  <c r="L22" i="2"/>
  <c r="M40" i="2"/>
  <c r="Z15" i="2"/>
  <c r="M10" i="2"/>
  <c r="O8" i="2"/>
  <c r="N15" i="2"/>
  <c r="F36" i="2"/>
  <c r="E7" i="3"/>
  <c r="H47" i="2"/>
  <c r="H25" i="2"/>
  <c r="H80" i="8"/>
  <c r="H40" i="8"/>
  <c r="H60" i="8"/>
  <c r="H16" i="5"/>
  <c r="I80" i="8"/>
  <c r="I60" i="8"/>
  <c r="I16" i="5"/>
  <c r="I40" i="8"/>
  <c r="G49" i="2"/>
  <c r="J29" i="2"/>
  <c r="I17" i="5"/>
  <c r="N14" i="2" l="1"/>
  <c r="N9" i="2"/>
  <c r="O7" i="2"/>
  <c r="K20" i="4"/>
  <c r="K21" i="4" s="1"/>
  <c r="K23" i="4"/>
  <c r="K24" i="4" s="1"/>
  <c r="M7" i="4"/>
  <c r="Z9" i="2"/>
  <c r="G36" i="2"/>
  <c r="F7" i="3"/>
  <c r="M16" i="2"/>
  <c r="L18" i="2"/>
  <c r="L10" i="4" s="1"/>
  <c r="L21" i="2"/>
  <c r="L23" i="2" s="1"/>
  <c r="L24" i="2" s="1"/>
  <c r="K25" i="2"/>
  <c r="K47" i="2"/>
  <c r="J17" i="5"/>
  <c r="N40" i="2"/>
  <c r="O11" i="2"/>
  <c r="P11" i="2" s="1"/>
  <c r="J80" i="8"/>
  <c r="J60" i="8"/>
  <c r="J16" i="5"/>
  <c r="J40" i="8"/>
  <c r="O15" i="2"/>
  <c r="O40" i="2" s="1"/>
  <c r="O41" i="2" s="1"/>
  <c r="O42" i="2" s="1"/>
  <c r="P8" i="2"/>
  <c r="Z10" i="2"/>
  <c r="N10" i="2"/>
  <c r="O10" i="2" s="1"/>
  <c r="H48" i="2"/>
  <c r="H26" i="2"/>
  <c r="J26" i="2"/>
  <c r="J48" i="2"/>
  <c r="M41" i="2"/>
  <c r="Z40" i="2"/>
  <c r="J30" i="2"/>
  <c r="G35" i="2"/>
  <c r="E23" i="3"/>
  <c r="E13" i="3"/>
  <c r="N17" i="2"/>
  <c r="M22" i="2"/>
  <c r="Z22" i="2" s="1"/>
  <c r="Z17" i="2"/>
  <c r="I49" i="2"/>
  <c r="L29" i="2"/>
  <c r="L30" i="2" s="1"/>
  <c r="E44" i="2"/>
  <c r="F37" i="2"/>
  <c r="Z7" i="4" l="1"/>
  <c r="B35" i="1"/>
  <c r="E7" i="5"/>
  <c r="G7" i="3"/>
  <c r="H36" i="2"/>
  <c r="M29" i="2"/>
  <c r="M30" i="2" s="1"/>
  <c r="J49" i="2"/>
  <c r="K29" i="2"/>
  <c r="H49" i="2"/>
  <c r="K48" i="2"/>
  <c r="K26" i="2"/>
  <c r="L20" i="4"/>
  <c r="L21" i="4" s="1"/>
  <c r="L23" i="4"/>
  <c r="L24" i="4" s="1"/>
  <c r="K17" i="5"/>
  <c r="K80" i="8"/>
  <c r="K60" i="8"/>
  <c r="K40" i="8"/>
  <c r="K16" i="5"/>
  <c r="Q11" i="2"/>
  <c r="N7" i="4"/>
  <c r="M42" i="2"/>
  <c r="Z41" i="2"/>
  <c r="Q8" i="2"/>
  <c r="P15" i="2"/>
  <c r="N41" i="2"/>
  <c r="M18" i="2"/>
  <c r="Z16" i="2"/>
  <c r="N16" i="2"/>
  <c r="M21" i="2"/>
  <c r="F44" i="2"/>
  <c r="G37" i="2"/>
  <c r="E9" i="3"/>
  <c r="E52" i="2"/>
  <c r="E53" i="2"/>
  <c r="G51" i="2"/>
  <c r="L50" i="2"/>
  <c r="L34" i="2"/>
  <c r="L35" i="2" s="1"/>
  <c r="L51" i="2" s="1"/>
  <c r="O9" i="2"/>
  <c r="O7" i="4" s="1"/>
  <c r="P7" i="2"/>
  <c r="O14" i="2"/>
  <c r="J34" i="2"/>
  <c r="J50" i="2"/>
  <c r="J31" i="2"/>
  <c r="L25" i="2"/>
  <c r="L47" i="2"/>
  <c r="N22" i="2"/>
  <c r="O17" i="2"/>
  <c r="F13" i="3"/>
  <c r="F23" i="3"/>
  <c r="N42" i="2" l="1"/>
  <c r="L17" i="5"/>
  <c r="J35" i="2"/>
  <c r="L60" i="8"/>
  <c r="L80" i="8"/>
  <c r="L40" i="8"/>
  <c r="L16" i="5"/>
  <c r="E22" i="3"/>
  <c r="E14" i="3"/>
  <c r="P40" i="2"/>
  <c r="N29" i="2"/>
  <c r="K49" i="2"/>
  <c r="F7" i="5"/>
  <c r="Q7" i="2"/>
  <c r="P14" i="2"/>
  <c r="P9" i="2"/>
  <c r="P7" i="4" s="1"/>
  <c r="G44" i="2"/>
  <c r="H37" i="2"/>
  <c r="R8" i="2"/>
  <c r="Q15" i="2"/>
  <c r="Q40" i="2" s="1"/>
  <c r="Q41" i="2" s="1"/>
  <c r="Q42" i="2" s="1"/>
  <c r="E75" i="8"/>
  <c r="E55" i="8"/>
  <c r="E35" i="8"/>
  <c r="R11" i="2"/>
  <c r="F53" i="2"/>
  <c r="F9" i="3"/>
  <c r="F52" i="2"/>
  <c r="P10" i="2"/>
  <c r="Q10" i="2" s="1"/>
  <c r="M23" i="2"/>
  <c r="Z21" i="2"/>
  <c r="I36" i="2"/>
  <c r="H7" i="3"/>
  <c r="O22" i="2"/>
  <c r="P17" i="2"/>
  <c r="Z42" i="2"/>
  <c r="M43" i="2"/>
  <c r="F8" i="4"/>
  <c r="F16" i="4" s="1"/>
  <c r="E8" i="4"/>
  <c r="E16" i="4" s="1"/>
  <c r="D8" i="4"/>
  <c r="D16" i="4" s="1"/>
  <c r="K8" i="4"/>
  <c r="K16" i="4" s="1"/>
  <c r="C8" i="4"/>
  <c r="C16" i="4" s="1"/>
  <c r="B8" i="4"/>
  <c r="M8" i="4"/>
  <c r="M16" i="4" s="1"/>
  <c r="J8" i="4"/>
  <c r="J16" i="4" s="1"/>
  <c r="I8" i="4"/>
  <c r="I16" i="4" s="1"/>
  <c r="H8" i="4"/>
  <c r="H16" i="4" s="1"/>
  <c r="G8" i="4"/>
  <c r="G16" i="4" s="1"/>
  <c r="L8" i="4"/>
  <c r="L16" i="4" s="1"/>
  <c r="O16" i="2"/>
  <c r="N21" i="2"/>
  <c r="N18" i="2"/>
  <c r="N10" i="4" s="1"/>
  <c r="K30" i="2"/>
  <c r="Z29" i="2"/>
  <c r="L48" i="2"/>
  <c r="L26" i="2"/>
  <c r="G23" i="3"/>
  <c r="G13" i="3"/>
  <c r="K31" i="2"/>
  <c r="L31" i="2" s="1"/>
  <c r="M31" i="2" s="1"/>
  <c r="M10" i="4"/>
  <c r="Z18" i="2"/>
  <c r="M34" i="2"/>
  <c r="M35" i="2" s="1"/>
  <c r="M51" i="2" s="1"/>
  <c r="M50" i="2"/>
  <c r="F22" i="3" l="1"/>
  <c r="F14" i="3"/>
  <c r="R15" i="2"/>
  <c r="R40" i="2" s="1"/>
  <c r="R41" i="2" s="1"/>
  <c r="R42" i="2" s="1"/>
  <c r="S8" i="2"/>
  <c r="N30" i="2"/>
  <c r="Q17" i="2"/>
  <c r="P22" i="2"/>
  <c r="H44" i="2"/>
  <c r="I37" i="2"/>
  <c r="J51" i="2"/>
  <c r="S11" i="2"/>
  <c r="G53" i="2"/>
  <c r="G52" i="2"/>
  <c r="G9" i="3"/>
  <c r="P41" i="2"/>
  <c r="M20" i="4"/>
  <c r="M23" i="4"/>
  <c r="Z10" i="4"/>
  <c r="K50" i="2"/>
  <c r="Z50" i="2" s="1"/>
  <c r="K34" i="2"/>
  <c r="Z30" i="2"/>
  <c r="Z8" i="4"/>
  <c r="B16" i="4"/>
  <c r="H23" i="3"/>
  <c r="H13" i="3"/>
  <c r="E8" i="5"/>
  <c r="E17" i="3"/>
  <c r="E15" i="3"/>
  <c r="I7" i="3"/>
  <c r="J36" i="2"/>
  <c r="Z43" i="2"/>
  <c r="N43" i="2"/>
  <c r="O43" i="2" s="1"/>
  <c r="L49" i="2"/>
  <c r="O29" i="2"/>
  <c r="O30" i="2" s="1"/>
  <c r="Z31" i="2"/>
  <c r="N23" i="4"/>
  <c r="N20" i="4"/>
  <c r="N23" i="2"/>
  <c r="Q14" i="2"/>
  <c r="R7" i="2"/>
  <c r="Q9" i="2"/>
  <c r="Q7" i="4" s="1"/>
  <c r="G7" i="5"/>
  <c r="O18" i="2"/>
  <c r="O10" i="4" s="1"/>
  <c r="O21" i="2"/>
  <c r="O23" i="2" s="1"/>
  <c r="O24" i="2" s="1"/>
  <c r="P16" i="2"/>
  <c r="M24" i="2"/>
  <c r="Z23" i="2"/>
  <c r="R10" i="2"/>
  <c r="F75" i="8"/>
  <c r="F35" i="8"/>
  <c r="F55" i="8"/>
  <c r="K36" i="2" l="1"/>
  <c r="J7" i="3"/>
  <c r="R17" i="2"/>
  <c r="Q22" i="2"/>
  <c r="N21" i="4"/>
  <c r="I13" i="3"/>
  <c r="I23" i="3"/>
  <c r="N50" i="2"/>
  <c r="N34" i="2"/>
  <c r="E9" i="5"/>
  <c r="E21" i="3"/>
  <c r="E20" i="3"/>
  <c r="E16" i="3"/>
  <c r="K35" i="2"/>
  <c r="Z34" i="2"/>
  <c r="G75" i="8"/>
  <c r="G35" i="8"/>
  <c r="G55" i="8"/>
  <c r="S15" i="2"/>
  <c r="T8" i="2"/>
  <c r="E76" i="8"/>
  <c r="E56" i="8"/>
  <c r="E36" i="8"/>
  <c r="M24" i="4"/>
  <c r="Z23" i="4"/>
  <c r="N24" i="4"/>
  <c r="F8" i="5"/>
  <c r="F17" i="3"/>
  <c r="F15" i="3"/>
  <c r="S10" i="2"/>
  <c r="N31" i="2"/>
  <c r="O31" i="2" s="1"/>
  <c r="S7" i="2"/>
  <c r="R14" i="2"/>
  <c r="R9" i="2"/>
  <c r="R7" i="4" s="1"/>
  <c r="I44" i="2"/>
  <c r="J37" i="2"/>
  <c r="M25" i="2"/>
  <c r="M47" i="2"/>
  <c r="Z47" i="2" s="1"/>
  <c r="Z24" i="2"/>
  <c r="P21" i="2"/>
  <c r="Q16" i="2"/>
  <c r="P18" i="2"/>
  <c r="P10" i="4" s="1"/>
  <c r="O47" i="2"/>
  <c r="O25" i="2"/>
  <c r="P42" i="2"/>
  <c r="H53" i="2"/>
  <c r="H52" i="2"/>
  <c r="H9" i="3"/>
  <c r="O50" i="2"/>
  <c r="O34" i="2"/>
  <c r="O35" i="2" s="1"/>
  <c r="O51" i="2" s="1"/>
  <c r="M21" i="4"/>
  <c r="Z20" i="4"/>
  <c r="H7" i="5"/>
  <c r="O20" i="4"/>
  <c r="O21" i="4" s="1"/>
  <c r="O23" i="4"/>
  <c r="O24" i="4" s="1"/>
  <c r="N24" i="2"/>
  <c r="G18" i="4"/>
  <c r="M17" i="4"/>
  <c r="C17" i="4"/>
  <c r="C18" i="4" s="1"/>
  <c r="L17" i="4"/>
  <c r="J17" i="4"/>
  <c r="J18" i="4" s="1"/>
  <c r="H18" i="4"/>
  <c r="I17" i="4"/>
  <c r="I18" i="4" s="1"/>
  <c r="D18" i="4"/>
  <c r="F17" i="4"/>
  <c r="F18" i="4" s="1"/>
  <c r="E17" i="4"/>
  <c r="B18" i="4"/>
  <c r="D17" i="4"/>
  <c r="E18" i="4"/>
  <c r="G17" i="4"/>
  <c r="B17" i="4"/>
  <c r="Z16" i="4"/>
  <c r="M18" i="4"/>
  <c r="L18" i="4"/>
  <c r="K17" i="4"/>
  <c r="K18" i="4" s="1"/>
  <c r="H17" i="4"/>
  <c r="G22" i="3"/>
  <c r="G14" i="3"/>
  <c r="F79" i="8" l="1"/>
  <c r="F81" i="8" s="1"/>
  <c r="F59" i="8"/>
  <c r="F39" i="8"/>
  <c r="F41" i="8" s="1"/>
  <c r="F15" i="5"/>
  <c r="F27" i="4"/>
  <c r="I59" i="8"/>
  <c r="I79" i="8"/>
  <c r="I81" i="8" s="1"/>
  <c r="I15" i="5"/>
  <c r="I39" i="8"/>
  <c r="I41" i="8" s="1"/>
  <c r="I27" i="4"/>
  <c r="C79" i="8"/>
  <c r="C81" i="8" s="1"/>
  <c r="C82" i="8" s="1"/>
  <c r="C84" i="8" s="1"/>
  <c r="C59" i="8"/>
  <c r="C39" i="8"/>
  <c r="C41" i="8" s="1"/>
  <c r="C42" i="8" s="1"/>
  <c r="C44" i="8" s="1"/>
  <c r="C15" i="5"/>
  <c r="C30" i="5" s="1"/>
  <c r="C27" i="4"/>
  <c r="K79" i="8"/>
  <c r="K81" i="8" s="1"/>
  <c r="K59" i="8"/>
  <c r="K39" i="8"/>
  <c r="K41" i="8" s="1"/>
  <c r="K15" i="5"/>
  <c r="K27" i="4"/>
  <c r="J79" i="8"/>
  <c r="J81" i="8" s="1"/>
  <c r="J59" i="8"/>
  <c r="J15" i="5"/>
  <c r="J39" i="8"/>
  <c r="J41" i="8" s="1"/>
  <c r="J27" i="4"/>
  <c r="I7" i="5"/>
  <c r="K51" i="2"/>
  <c r="Z51" i="2" s="1"/>
  <c r="Z35" i="2"/>
  <c r="M79" i="8"/>
  <c r="M59" i="8"/>
  <c r="M39" i="8"/>
  <c r="M15" i="5"/>
  <c r="M27" i="4"/>
  <c r="D79" i="8"/>
  <c r="D81" i="8" s="1"/>
  <c r="D82" i="8" s="1"/>
  <c r="D84" i="8" s="1"/>
  <c r="D59" i="8"/>
  <c r="D39" i="8"/>
  <c r="D41" i="8" s="1"/>
  <c r="D42" i="8" s="1"/>
  <c r="D44" i="8" s="1"/>
  <c r="D15" i="5"/>
  <c r="D30" i="5" s="1"/>
  <c r="D27" i="4"/>
  <c r="M60" i="8"/>
  <c r="Z60" i="8" s="1"/>
  <c r="M80" i="8"/>
  <c r="Z80" i="8" s="1"/>
  <c r="M40" i="8"/>
  <c r="Z40" i="8" s="1"/>
  <c r="M16" i="5"/>
  <c r="Z16" i="5" s="1"/>
  <c r="M32" i="4"/>
  <c r="Z21" i="4"/>
  <c r="J44" i="2"/>
  <c r="K37" i="2"/>
  <c r="F20" i="3"/>
  <c r="F9" i="5"/>
  <c r="F21" i="3"/>
  <c r="F16" i="3"/>
  <c r="E77" i="8"/>
  <c r="N80" i="8"/>
  <c r="N60" i="8"/>
  <c r="N40" i="8"/>
  <c r="N16" i="5"/>
  <c r="U8" i="2"/>
  <c r="T15" i="2"/>
  <c r="T40" i="2" s="1"/>
  <c r="T41" i="2" s="1"/>
  <c r="T42" i="2" s="1"/>
  <c r="L39" i="8"/>
  <c r="L41" i="8" s="1"/>
  <c r="L79" i="8"/>
  <c r="L81" i="8" s="1"/>
  <c r="L59" i="8"/>
  <c r="L30" i="4"/>
  <c r="L15" i="5"/>
  <c r="L27" i="4"/>
  <c r="O17" i="5"/>
  <c r="S40" i="2"/>
  <c r="N17" i="5"/>
  <c r="S17" i="2"/>
  <c r="R22" i="2"/>
  <c r="I52" i="2"/>
  <c r="I53" i="2"/>
  <c r="I9" i="3"/>
  <c r="Z17" i="4"/>
  <c r="H79" i="8"/>
  <c r="H81" i="8" s="1"/>
  <c r="H59" i="8"/>
  <c r="H39" i="8"/>
  <c r="H41" i="8" s="1"/>
  <c r="H15" i="5"/>
  <c r="H27" i="4"/>
  <c r="P43" i="2"/>
  <c r="Q43" i="2" s="1"/>
  <c r="R43" i="2" s="1"/>
  <c r="E79" i="8"/>
  <c r="E81" i="8" s="1"/>
  <c r="E39" i="8"/>
  <c r="E41" i="8" s="1"/>
  <c r="E59" i="8"/>
  <c r="E15" i="5"/>
  <c r="E30" i="5" s="1"/>
  <c r="E30" i="4"/>
  <c r="E27" i="4"/>
  <c r="P20" i="4"/>
  <c r="P23" i="4"/>
  <c r="P24" i="4" s="1"/>
  <c r="E57" i="8"/>
  <c r="E10" i="5"/>
  <c r="E31" i="5"/>
  <c r="J13" i="3"/>
  <c r="J23" i="3"/>
  <c r="N25" i="2"/>
  <c r="N47" i="2"/>
  <c r="O26" i="2"/>
  <c r="O48" i="2"/>
  <c r="F56" i="8"/>
  <c r="F36" i="8"/>
  <c r="F37" i="8" s="1"/>
  <c r="F42" i="8" s="1"/>
  <c r="F44" i="8" s="1"/>
  <c r="F76" i="8"/>
  <c r="F77" i="8" s="1"/>
  <c r="F82" i="8" s="1"/>
  <c r="F84" i="8" s="1"/>
  <c r="H75" i="8"/>
  <c r="H35" i="8"/>
  <c r="H55" i="8"/>
  <c r="Q21" i="2"/>
  <c r="Q23" i="2" s="1"/>
  <c r="Q24" i="2" s="1"/>
  <c r="R16" i="2"/>
  <c r="Q18" i="2"/>
  <c r="Q10" i="4" s="1"/>
  <c r="K7" i="3"/>
  <c r="L36" i="2"/>
  <c r="M48" i="2"/>
  <c r="Z48" i="2" s="1"/>
  <c r="M26" i="2"/>
  <c r="Z25" i="2"/>
  <c r="M81" i="8"/>
  <c r="M41" i="8"/>
  <c r="M33" i="4"/>
  <c r="M17" i="5"/>
  <c r="Z17" i="5" s="1"/>
  <c r="Z24" i="4"/>
  <c r="N35" i="2"/>
  <c r="G8" i="5"/>
  <c r="G15" i="3"/>
  <c r="O80" i="8"/>
  <c r="O60" i="8"/>
  <c r="O40" i="8"/>
  <c r="O16" i="5"/>
  <c r="P23" i="2"/>
  <c r="S14" i="2"/>
  <c r="S9" i="2"/>
  <c r="T7" i="2"/>
  <c r="T11" i="2"/>
  <c r="U11" i="2" s="1"/>
  <c r="G79" i="8"/>
  <c r="G81" i="8" s="1"/>
  <c r="G59" i="8"/>
  <c r="G39" i="8"/>
  <c r="G41" i="8" s="1"/>
  <c r="G15" i="5"/>
  <c r="G27" i="4"/>
  <c r="T10" i="2"/>
  <c r="B79" i="8"/>
  <c r="B39" i="8"/>
  <c r="B59" i="8"/>
  <c r="B15" i="5"/>
  <c r="B30" i="4"/>
  <c r="Z18" i="4"/>
  <c r="B36" i="1" a="1"/>
  <c r="B36" i="1" s="1"/>
  <c r="B27" i="4"/>
  <c r="H22" i="3"/>
  <c r="H14" i="3"/>
  <c r="E37" i="8"/>
  <c r="P24" i="2" l="1"/>
  <c r="L7" i="3"/>
  <c r="M36" i="2"/>
  <c r="F86" i="8"/>
  <c r="F87" i="8" s="1"/>
  <c r="F90" i="8" s="1"/>
  <c r="F92" i="8" s="1"/>
  <c r="F85" i="8"/>
  <c r="L61" i="8"/>
  <c r="L19" i="5"/>
  <c r="L35" i="4"/>
  <c r="L28" i="4"/>
  <c r="L34" i="4" s="1"/>
  <c r="L31" i="4"/>
  <c r="L32" i="4"/>
  <c r="L33" i="4"/>
  <c r="F20" i="5"/>
  <c r="F57" i="8"/>
  <c r="F29" i="5"/>
  <c r="F10" i="5"/>
  <c r="F31" i="5"/>
  <c r="J61" i="8"/>
  <c r="J35" i="4"/>
  <c r="J19" i="5"/>
  <c r="J31" i="4"/>
  <c r="J28" i="4"/>
  <c r="J34" i="4" s="1"/>
  <c r="J33" i="4"/>
  <c r="J32" i="4"/>
  <c r="D61" i="8"/>
  <c r="D19" i="5"/>
  <c r="D35" i="4"/>
  <c r="D28" i="4"/>
  <c r="D34" i="4" s="1"/>
  <c r="D31" i="4"/>
  <c r="D33" i="4"/>
  <c r="D32" i="4"/>
  <c r="Z33" i="4"/>
  <c r="J30" i="4"/>
  <c r="C61" i="8"/>
  <c r="C35" i="4"/>
  <c r="C19" i="5"/>
  <c r="C28" i="4"/>
  <c r="C34" i="4" s="1"/>
  <c r="C31" i="4"/>
  <c r="C33" i="4"/>
  <c r="C32" i="4"/>
  <c r="Z59" i="8"/>
  <c r="J9" i="3"/>
  <c r="J53" i="2"/>
  <c r="J52" i="2"/>
  <c r="D30" i="4"/>
  <c r="E42" i="8"/>
  <c r="E44" i="8" s="1"/>
  <c r="O49" i="2"/>
  <c r="R29" i="2"/>
  <c r="R30" i="2" s="1"/>
  <c r="D45" i="8"/>
  <c r="D46" i="8" s="1"/>
  <c r="D47" i="8" s="1"/>
  <c r="D50" i="8" s="1"/>
  <c r="D52" i="8" s="1"/>
  <c r="C30" i="4"/>
  <c r="F61" i="8"/>
  <c r="F19" i="5"/>
  <c r="F35" i="4"/>
  <c r="F31" i="4"/>
  <c r="F28" i="4"/>
  <c r="F34" i="4" s="1"/>
  <c r="F32" i="4"/>
  <c r="F33" i="4"/>
  <c r="F45" i="8"/>
  <c r="F46" i="8" s="1"/>
  <c r="F47" i="8" s="1"/>
  <c r="F50" i="8" s="1"/>
  <c r="F52" i="8" s="1"/>
  <c r="L37" i="2"/>
  <c r="K44" i="2"/>
  <c r="B96" i="1"/>
  <c r="B38" i="9" s="1"/>
  <c r="I14" i="3"/>
  <c r="I22" i="3"/>
  <c r="Z39" i="8"/>
  <c r="B41" i="8"/>
  <c r="Q23" i="4"/>
  <c r="Q20" i="4"/>
  <c r="Q21" i="4" s="1"/>
  <c r="Z79" i="8"/>
  <c r="B81" i="8"/>
  <c r="R21" i="2"/>
  <c r="R23" i="2" s="1"/>
  <c r="R24" i="2" s="1"/>
  <c r="R18" i="2"/>
  <c r="R10" i="4" s="1"/>
  <c r="S16" i="2"/>
  <c r="S41" i="2"/>
  <c r="Z32" i="4"/>
  <c r="C45" i="8"/>
  <c r="C46" i="8" s="1"/>
  <c r="C47" i="8" s="1"/>
  <c r="C50" i="8" s="1"/>
  <c r="C52" i="8" s="1"/>
  <c r="F30" i="4"/>
  <c r="B30" i="5"/>
  <c r="Z15" i="5"/>
  <c r="B24" i="9" s="1"/>
  <c r="B25" i="9" s="1"/>
  <c r="H8" i="5"/>
  <c r="H15" i="3"/>
  <c r="U7" i="2"/>
  <c r="T9" i="2"/>
  <c r="T7" i="4" s="1"/>
  <c r="T14" i="2"/>
  <c r="E82" i="8"/>
  <c r="E84" i="8" s="1"/>
  <c r="D86" i="8"/>
  <c r="D87" i="8" s="1"/>
  <c r="D90" i="8" s="1"/>
  <c r="D92" i="8" s="1"/>
  <c r="D85" i="8"/>
  <c r="K61" i="8"/>
  <c r="K35" i="4"/>
  <c r="K19" i="5"/>
  <c r="K31" i="4"/>
  <c r="K28" i="4"/>
  <c r="K34" i="4" s="1"/>
  <c r="K33" i="4"/>
  <c r="K32" i="4"/>
  <c r="F30" i="5"/>
  <c r="K23" i="3"/>
  <c r="K13" i="3"/>
  <c r="G61" i="8"/>
  <c r="G35" i="4"/>
  <c r="G19" i="5"/>
  <c r="G31" i="4"/>
  <c r="G28" i="4"/>
  <c r="G34" i="4" s="1"/>
  <c r="G33" i="4"/>
  <c r="G32" i="4"/>
  <c r="S7" i="4"/>
  <c r="M61" i="8"/>
  <c r="M19" i="5"/>
  <c r="M35" i="4"/>
  <c r="M28" i="4"/>
  <c r="M34" i="4" s="1"/>
  <c r="M31" i="4"/>
  <c r="C85" i="8"/>
  <c r="C86" i="8" s="1"/>
  <c r="C87" i="8" s="1"/>
  <c r="C90" i="8" s="1"/>
  <c r="C92" i="8" s="1"/>
  <c r="G9" i="5"/>
  <c r="G20" i="3"/>
  <c r="G21" i="3"/>
  <c r="G16" i="3"/>
  <c r="Q25" i="2"/>
  <c r="Q47" i="2"/>
  <c r="H61" i="8"/>
  <c r="H19" i="5"/>
  <c r="H35" i="4"/>
  <c r="H31" i="4"/>
  <c r="H28" i="4"/>
  <c r="H34" i="4" s="1"/>
  <c r="H32" i="4"/>
  <c r="H33" i="4"/>
  <c r="G17" i="3"/>
  <c r="N26" i="2"/>
  <c r="N48" i="2"/>
  <c r="P17" i="5"/>
  <c r="H30" i="4"/>
  <c r="T17" i="2"/>
  <c r="S22" i="2"/>
  <c r="B61" i="8"/>
  <c r="B19" i="5"/>
  <c r="Z27" i="4"/>
  <c r="B35" i="4"/>
  <c r="B28" i="4"/>
  <c r="B31" i="4"/>
  <c r="B32" i="4"/>
  <c r="B33" i="4"/>
  <c r="G56" i="8"/>
  <c r="G76" i="8"/>
  <c r="G77" i="8" s="1"/>
  <c r="G82" i="8" s="1"/>
  <c r="G84" i="8" s="1"/>
  <c r="G36" i="8"/>
  <c r="G37" i="8" s="1"/>
  <c r="G42" i="8" s="1"/>
  <c r="G44" i="8" s="1"/>
  <c r="P29" i="2"/>
  <c r="M49" i="2"/>
  <c r="Z49" i="2" s="1"/>
  <c r="Z26" i="2"/>
  <c r="P21" i="4"/>
  <c r="I75" i="8"/>
  <c r="I35" i="8"/>
  <c r="I55" i="8"/>
  <c r="K30" i="4"/>
  <c r="I61" i="8"/>
  <c r="I35" i="4"/>
  <c r="I19" i="5"/>
  <c r="I28" i="4"/>
  <c r="I34" i="4" s="1"/>
  <c r="I31" i="4"/>
  <c r="I33" i="4"/>
  <c r="I32" i="4"/>
  <c r="G30" i="4"/>
  <c r="N51" i="2"/>
  <c r="J7" i="5"/>
  <c r="E61" i="8"/>
  <c r="E19" i="5"/>
  <c r="E35" i="4"/>
  <c r="E28" i="4"/>
  <c r="E34" i="4" s="1"/>
  <c r="E31" i="4"/>
  <c r="E32" i="4"/>
  <c r="E33" i="4"/>
  <c r="U15" i="2"/>
  <c r="V8" i="2"/>
  <c r="M30" i="4"/>
  <c r="I30" i="4"/>
  <c r="Z41" i="8" l="1"/>
  <c r="B18" i="8" s="1"/>
  <c r="B42" i="8"/>
  <c r="D29" i="5"/>
  <c r="D20" i="5"/>
  <c r="T22" i="2"/>
  <c r="U17" i="2"/>
  <c r="P80" i="8"/>
  <c r="P60" i="8"/>
  <c r="P40" i="8"/>
  <c r="P16" i="5"/>
  <c r="G57" i="8"/>
  <c r="G29" i="5"/>
  <c r="G10" i="5"/>
  <c r="G20" i="5"/>
  <c r="G31" i="5"/>
  <c r="F62" i="8"/>
  <c r="F23" i="5"/>
  <c r="F21" i="5"/>
  <c r="P30" i="2"/>
  <c r="C18" i="8"/>
  <c r="Z31" i="4"/>
  <c r="R25" i="2"/>
  <c r="R47" i="2"/>
  <c r="N36" i="2"/>
  <c r="M7" i="3"/>
  <c r="Z36" i="2"/>
  <c r="Z28" i="4"/>
  <c r="Z34" i="4" s="1"/>
  <c r="B34" i="4"/>
  <c r="E86" i="8"/>
  <c r="E87" i="8" s="1"/>
  <c r="E90" i="8" s="1"/>
  <c r="E92" i="8" s="1"/>
  <c r="E85" i="8"/>
  <c r="T16" i="2"/>
  <c r="S21" i="2"/>
  <c r="S18" i="2"/>
  <c r="S10" i="4" s="1"/>
  <c r="Z35" i="4"/>
  <c r="L23" i="3"/>
  <c r="L13" i="3"/>
  <c r="V7" i="2"/>
  <c r="U14" i="2"/>
  <c r="U9" i="2"/>
  <c r="U7" i="4" s="1"/>
  <c r="Z81" i="8"/>
  <c r="D18" i="8" s="1"/>
  <c r="B82" i="8"/>
  <c r="I8" i="5"/>
  <c r="I17" i="3"/>
  <c r="I15" i="3"/>
  <c r="G85" i="8"/>
  <c r="G86" i="8" s="1"/>
  <c r="G87" i="8" s="1"/>
  <c r="G90" i="8" s="1"/>
  <c r="G92" i="8" s="1"/>
  <c r="Z61" i="8"/>
  <c r="U10" i="2"/>
  <c r="E46" i="8"/>
  <c r="E47" i="8" s="1"/>
  <c r="E50" i="8" s="1"/>
  <c r="E52" i="8" s="1"/>
  <c r="E45" i="8"/>
  <c r="Q26" i="2"/>
  <c r="Q48" i="2"/>
  <c r="Q60" i="8"/>
  <c r="Q80" i="8"/>
  <c r="Q40" i="8"/>
  <c r="Q16" i="5"/>
  <c r="K53" i="2"/>
  <c r="K52" i="2"/>
  <c r="K9" i="3"/>
  <c r="P47" i="2"/>
  <c r="P25" i="2"/>
  <c r="R23" i="4"/>
  <c r="R24" i="4" s="1"/>
  <c r="R20" i="4"/>
  <c r="R50" i="2"/>
  <c r="R34" i="2"/>
  <c r="R35" i="2" s="1"/>
  <c r="R51" i="2" s="1"/>
  <c r="J14" i="3"/>
  <c r="J22" i="3"/>
  <c r="E20" i="5"/>
  <c r="E29" i="5"/>
  <c r="G45" i="8"/>
  <c r="G46" i="8" s="1"/>
  <c r="G47" i="8" s="1"/>
  <c r="G50" i="8" s="1"/>
  <c r="G52" i="8" s="1"/>
  <c r="Z19" i="5"/>
  <c r="B29" i="5"/>
  <c r="B20" i="5"/>
  <c r="V15" i="2"/>
  <c r="V40" i="2" s="1"/>
  <c r="V41" i="2" s="1"/>
  <c r="V42" i="2" s="1"/>
  <c r="W8" i="2"/>
  <c r="Q29" i="2"/>
  <c r="Q30" i="2" s="1"/>
  <c r="N49" i="2"/>
  <c r="H20" i="3"/>
  <c r="H9" i="5"/>
  <c r="H21" i="3"/>
  <c r="H16" i="3"/>
  <c r="U40" i="2"/>
  <c r="J75" i="8"/>
  <c r="J55" i="8"/>
  <c r="J35" i="8"/>
  <c r="G30" i="5"/>
  <c r="H17" i="3"/>
  <c r="S42" i="2"/>
  <c r="Q24" i="4"/>
  <c r="M37" i="2"/>
  <c r="L44" i="2"/>
  <c r="Z30" i="4"/>
  <c r="K7" i="5"/>
  <c r="H76" i="8"/>
  <c r="H56" i="8"/>
  <c r="H36" i="8"/>
  <c r="V11" i="2"/>
  <c r="C29" i="5"/>
  <c r="C20" i="5"/>
  <c r="V14" i="2" l="1"/>
  <c r="V9" i="2"/>
  <c r="V7" i="4" s="1"/>
  <c r="W7" i="2"/>
  <c r="P50" i="2"/>
  <c r="P34" i="2"/>
  <c r="P31" i="2"/>
  <c r="Q31" i="2" s="1"/>
  <c r="R31" i="2" s="1"/>
  <c r="Q49" i="2"/>
  <c r="T29" i="2"/>
  <c r="T30" i="2" s="1"/>
  <c r="I9" i="5"/>
  <c r="I21" i="3"/>
  <c r="I20" i="3"/>
  <c r="I16" i="3"/>
  <c r="M23" i="3"/>
  <c r="Z23" i="3" s="1"/>
  <c r="M13" i="3"/>
  <c r="Z7" i="3"/>
  <c r="F64" i="8"/>
  <c r="F24" i="5"/>
  <c r="F25" i="5"/>
  <c r="F26" i="5" s="1"/>
  <c r="F7" i="6"/>
  <c r="L7" i="5"/>
  <c r="K75" i="8"/>
  <c r="K55" i="8"/>
  <c r="K35" i="8"/>
  <c r="C62" i="8"/>
  <c r="C21" i="5"/>
  <c r="C23" i="5"/>
  <c r="L52" i="2"/>
  <c r="L9" i="3"/>
  <c r="L53" i="2"/>
  <c r="E62" i="8"/>
  <c r="E23" i="5"/>
  <c r="E21" i="5"/>
  <c r="K22" i="3"/>
  <c r="K14" i="3"/>
  <c r="D62" i="8"/>
  <c r="D21" i="5"/>
  <c r="D23" i="5"/>
  <c r="I76" i="8"/>
  <c r="I77" i="8" s="1"/>
  <c r="I82" i="8" s="1"/>
  <c r="I84" i="8" s="1"/>
  <c r="I56" i="8"/>
  <c r="I36" i="8"/>
  <c r="I37" i="8" s="1"/>
  <c r="I42" i="8" s="1"/>
  <c r="I44" i="8" s="1"/>
  <c r="S20" i="4"/>
  <c r="S21" i="4" s="1"/>
  <c r="S23" i="4"/>
  <c r="S24" i="4" s="1"/>
  <c r="R26" i="2"/>
  <c r="R48" i="2"/>
  <c r="B44" i="8"/>
  <c r="R17" i="5"/>
  <c r="P26" i="2"/>
  <c r="P48" i="2"/>
  <c r="Z37" i="2"/>
  <c r="N37" i="2"/>
  <c r="M44" i="2"/>
  <c r="B62" i="8"/>
  <c r="B23" i="5"/>
  <c r="B21" i="5"/>
  <c r="V10" i="2"/>
  <c r="W10" i="2" s="1"/>
  <c r="T18" i="2"/>
  <c r="T10" i="4" s="1"/>
  <c r="U16" i="2"/>
  <c r="T21" i="2"/>
  <c r="T23" i="2" s="1"/>
  <c r="T24" i="2" s="1"/>
  <c r="G62" i="8"/>
  <c r="G23" i="5"/>
  <c r="G21" i="5"/>
  <c r="U22" i="2"/>
  <c r="V17" i="2"/>
  <c r="H77" i="8"/>
  <c r="Q34" i="2"/>
  <c r="Q35" i="2" s="1"/>
  <c r="Q51" i="2" s="1"/>
  <c r="Q50" i="2"/>
  <c r="N7" i="3"/>
  <c r="O36" i="2"/>
  <c r="X8" i="2"/>
  <c r="W15" i="2"/>
  <c r="W40" i="2" s="1"/>
  <c r="W41" i="2" s="1"/>
  <c r="W42" i="2" s="1"/>
  <c r="W11" i="2"/>
  <c r="X11" i="2" s="1"/>
  <c r="U41" i="2"/>
  <c r="J8" i="5"/>
  <c r="J17" i="3"/>
  <c r="J15" i="3"/>
  <c r="B84" i="8"/>
  <c r="S23" i="2"/>
  <c r="H37" i="8"/>
  <c r="Q17" i="5"/>
  <c r="S43" i="2"/>
  <c r="T43" i="2" s="1"/>
  <c r="H57" i="8"/>
  <c r="H29" i="5"/>
  <c r="H10" i="5"/>
  <c r="H20" i="5"/>
  <c r="H31" i="5"/>
  <c r="H30" i="5"/>
  <c r="B17" i="9"/>
  <c r="Y54" i="9" s="1"/>
  <c r="B95" i="1"/>
  <c r="B35" i="9" s="1"/>
  <c r="R21" i="4"/>
  <c r="H42" i="8" l="1"/>
  <c r="V22" i="2"/>
  <c r="W17" i="2"/>
  <c r="P49" i="2"/>
  <c r="S29" i="2"/>
  <c r="J21" i="3"/>
  <c r="J9" i="5"/>
  <c r="J20" i="3"/>
  <c r="J16" i="3"/>
  <c r="N23" i="3"/>
  <c r="N13" i="3"/>
  <c r="T25" i="2"/>
  <c r="T47" i="2"/>
  <c r="M53" i="2"/>
  <c r="Z53" i="2" s="1"/>
  <c r="M9" i="3"/>
  <c r="M52" i="2"/>
  <c r="Z52" i="2" s="1"/>
  <c r="Z44" i="2"/>
  <c r="M7" i="5"/>
  <c r="Z13" i="3"/>
  <c r="U18" i="2"/>
  <c r="U10" i="4" s="1"/>
  <c r="V16" i="2"/>
  <c r="U21" i="2"/>
  <c r="U23" i="2" s="1"/>
  <c r="U24" i="2" s="1"/>
  <c r="O37" i="2"/>
  <c r="N44" i="2"/>
  <c r="I86" i="8"/>
  <c r="I87" i="8" s="1"/>
  <c r="I90" i="8" s="1"/>
  <c r="I92" i="8" s="1"/>
  <c r="I85" i="8"/>
  <c r="P35" i="2"/>
  <c r="H62" i="8"/>
  <c r="H23" i="5"/>
  <c r="H21" i="5"/>
  <c r="J56" i="8"/>
  <c r="J36" i="8"/>
  <c r="J37" i="8" s="1"/>
  <c r="J42" i="8" s="1"/>
  <c r="J44" i="8" s="1"/>
  <c r="J76" i="8"/>
  <c r="J77" i="8" s="1"/>
  <c r="J82" i="8" s="1"/>
  <c r="J84" i="8" s="1"/>
  <c r="T20" i="4"/>
  <c r="T23" i="4"/>
  <c r="B46" i="8"/>
  <c r="B45" i="8"/>
  <c r="D64" i="8"/>
  <c r="D7" i="6"/>
  <c r="D24" i="5"/>
  <c r="H82" i="8"/>
  <c r="L14" i="3"/>
  <c r="L22" i="3"/>
  <c r="L75" i="8"/>
  <c r="L55" i="8"/>
  <c r="L35" i="8"/>
  <c r="U42" i="2"/>
  <c r="U29" i="2"/>
  <c r="U30" i="2" s="1"/>
  <c r="R49" i="2"/>
  <c r="C64" i="8"/>
  <c r="C7" i="6"/>
  <c r="C24" i="5"/>
  <c r="I57" i="8"/>
  <c r="I20" i="5"/>
  <c r="I29" i="5"/>
  <c r="I10" i="5"/>
  <c r="I31" i="5"/>
  <c r="I30" i="5"/>
  <c r="X7" i="2"/>
  <c r="W9" i="2"/>
  <c r="W7" i="4" s="1"/>
  <c r="W14" i="2"/>
  <c r="T50" i="2"/>
  <c r="T34" i="2"/>
  <c r="T35" i="2" s="1"/>
  <c r="T51" i="2" s="1"/>
  <c r="K8" i="5"/>
  <c r="K17" i="3"/>
  <c r="K15" i="3"/>
  <c r="S24" i="2"/>
  <c r="F65" i="8"/>
  <c r="F8" i="6"/>
  <c r="F9" i="6" s="1"/>
  <c r="U43" i="2"/>
  <c r="V43" i="2" s="1"/>
  <c r="W43" i="2" s="1"/>
  <c r="X43" i="2" s="1"/>
  <c r="S17" i="5"/>
  <c r="B85" i="8"/>
  <c r="B86" i="8"/>
  <c r="Y8" i="2"/>
  <c r="X15" i="2"/>
  <c r="X40" i="2" s="1"/>
  <c r="X41" i="2" s="1"/>
  <c r="X42" i="2" s="1"/>
  <c r="G64" i="8"/>
  <c r="G7" i="6"/>
  <c r="G25" i="5"/>
  <c r="G26" i="5" s="1"/>
  <c r="G24" i="5"/>
  <c r="S60" i="8"/>
  <c r="S80" i="8"/>
  <c r="S16" i="5"/>
  <c r="S40" i="8"/>
  <c r="R60" i="8"/>
  <c r="R80" i="8"/>
  <c r="R40" i="8"/>
  <c r="R16" i="5"/>
  <c r="Y11" i="2"/>
  <c r="AA11" i="2" s="1"/>
  <c r="B64" i="8"/>
  <c r="B24" i="5"/>
  <c r="B25" i="5" s="1"/>
  <c r="B7" i="6"/>
  <c r="P36" i="2"/>
  <c r="O7" i="3"/>
  <c r="I45" i="8"/>
  <c r="I46" i="8"/>
  <c r="I47" i="8" s="1"/>
  <c r="I50" i="8" s="1"/>
  <c r="I52" i="8" s="1"/>
  <c r="E64" i="8"/>
  <c r="E24" i="5"/>
  <c r="E25" i="5" s="1"/>
  <c r="E26" i="5" s="1"/>
  <c r="E7" i="6"/>
  <c r="B26" i="5" l="1"/>
  <c r="F66" i="8"/>
  <c r="F11" i="6"/>
  <c r="O13" i="3"/>
  <c r="O23" i="3"/>
  <c r="V21" i="2"/>
  <c r="V23" i="2" s="1"/>
  <c r="W16" i="2"/>
  <c r="V18" i="2"/>
  <c r="V10" i="4" s="1"/>
  <c r="Z9" i="3"/>
  <c r="M22" i="3"/>
  <c r="Z22" i="3" s="1"/>
  <c r="M14" i="3"/>
  <c r="Q36" i="2"/>
  <c r="P7" i="3"/>
  <c r="S47" i="2"/>
  <c r="S25" i="2"/>
  <c r="X14" i="2"/>
  <c r="X9" i="2"/>
  <c r="X7" i="4" s="1"/>
  <c r="Y7" i="2"/>
  <c r="C9" i="6"/>
  <c r="H64" i="8"/>
  <c r="H7" i="6"/>
  <c r="H25" i="5"/>
  <c r="H26" i="5" s="1"/>
  <c r="H24" i="5"/>
  <c r="U20" i="4"/>
  <c r="U21" i="4" s="1"/>
  <c r="U23" i="4"/>
  <c r="U24" i="4" s="1"/>
  <c r="S30" i="2"/>
  <c r="K9" i="5"/>
  <c r="K21" i="3"/>
  <c r="K20" i="3"/>
  <c r="K16" i="3"/>
  <c r="B47" i="8"/>
  <c r="L8" i="5"/>
  <c r="L15" i="3"/>
  <c r="T26" i="2"/>
  <c r="T48" i="2"/>
  <c r="X17" i="2"/>
  <c r="W22" i="2"/>
  <c r="C65" i="8"/>
  <c r="C8" i="6"/>
  <c r="G65" i="8"/>
  <c r="G8" i="6"/>
  <c r="K76" i="8"/>
  <c r="K77" i="8" s="1"/>
  <c r="K56" i="8"/>
  <c r="K36" i="8"/>
  <c r="K37" i="8" s="1"/>
  <c r="U50" i="2"/>
  <c r="U34" i="2"/>
  <c r="U35" i="2" s="1"/>
  <c r="U51" i="2" s="1"/>
  <c r="X10" i="2"/>
  <c r="Y10" i="2" s="1"/>
  <c r="AA10" i="2" s="1"/>
  <c r="T24" i="4"/>
  <c r="P51" i="2"/>
  <c r="N7" i="5"/>
  <c r="M55" i="8"/>
  <c r="Z55" i="8" s="1"/>
  <c r="M75" i="8"/>
  <c r="M35" i="8"/>
  <c r="Z7" i="5"/>
  <c r="H44" i="8"/>
  <c r="T21" i="4"/>
  <c r="B65" i="8"/>
  <c r="B8" i="6"/>
  <c r="B9" i="6" s="1"/>
  <c r="D65" i="8"/>
  <c r="D8" i="6"/>
  <c r="D9" i="6" s="1"/>
  <c r="J45" i="8"/>
  <c r="J46" i="8" s="1"/>
  <c r="J47" i="8" s="1"/>
  <c r="J50" i="8" s="1"/>
  <c r="J52" i="8" s="1"/>
  <c r="N52" i="2"/>
  <c r="N9" i="3"/>
  <c r="N53" i="2"/>
  <c r="I62" i="8"/>
  <c r="I21" i="5"/>
  <c r="I23" i="5"/>
  <c r="H84" i="8"/>
  <c r="J85" i="8"/>
  <c r="J86" i="8" s="1"/>
  <c r="J87" i="8" s="1"/>
  <c r="J90" i="8" s="1"/>
  <c r="J92" i="8" s="1"/>
  <c r="D25" i="5"/>
  <c r="D26" i="5" s="1"/>
  <c r="O44" i="2"/>
  <c r="P37" i="2"/>
  <c r="J57" i="8"/>
  <c r="J20" i="5"/>
  <c r="J10" i="5"/>
  <c r="J29" i="5"/>
  <c r="J31" i="5"/>
  <c r="J30" i="5"/>
  <c r="B87" i="8"/>
  <c r="E65" i="8"/>
  <c r="E8" i="6"/>
  <c r="E9" i="6" s="1"/>
  <c r="G9" i="6"/>
  <c r="Y15" i="2"/>
  <c r="AA8" i="2"/>
  <c r="C25" i="5"/>
  <c r="C26" i="5" s="1"/>
  <c r="U25" i="2"/>
  <c r="U47" i="2"/>
  <c r="D66" i="8" l="1"/>
  <c r="D11" i="6"/>
  <c r="B66" i="8"/>
  <c r="B11" i="6"/>
  <c r="E66" i="8"/>
  <c r="E11" i="6"/>
  <c r="U80" i="8"/>
  <c r="U60" i="8"/>
  <c r="U40" i="8"/>
  <c r="U16" i="5"/>
  <c r="V23" i="4"/>
  <c r="V24" i="4" s="1"/>
  <c r="V20" i="4"/>
  <c r="V21" i="4" s="1"/>
  <c r="G66" i="8"/>
  <c r="G11" i="6"/>
  <c r="B50" i="8"/>
  <c r="H65" i="8"/>
  <c r="H8" i="6"/>
  <c r="W18" i="2"/>
  <c r="W10" i="4" s="1"/>
  <c r="X16" i="2"/>
  <c r="W21" i="2"/>
  <c r="W23" i="2" s="1"/>
  <c r="W24" i="2" s="1"/>
  <c r="V24" i="2"/>
  <c r="U26" i="2"/>
  <c r="U48" i="2"/>
  <c r="I64" i="8"/>
  <c r="I7" i="6"/>
  <c r="I24" i="5"/>
  <c r="Z75" i="8"/>
  <c r="H9" i="6"/>
  <c r="K42" i="8"/>
  <c r="N75" i="8"/>
  <c r="N55" i="8"/>
  <c r="N35" i="8"/>
  <c r="H86" i="8"/>
  <c r="H85" i="8"/>
  <c r="Z35" i="8"/>
  <c r="K82" i="8"/>
  <c r="Y17" i="2"/>
  <c r="X22" i="2"/>
  <c r="S48" i="2"/>
  <c r="S26" i="2"/>
  <c r="O7" i="5"/>
  <c r="K57" i="8"/>
  <c r="K20" i="5"/>
  <c r="K29" i="5"/>
  <c r="K10" i="5"/>
  <c r="K31" i="5"/>
  <c r="K30" i="5"/>
  <c r="P13" i="3"/>
  <c r="P23" i="3"/>
  <c r="F67" i="8"/>
  <c r="F19" i="6"/>
  <c r="J62" i="8"/>
  <c r="J21" i="5"/>
  <c r="J23" i="5"/>
  <c r="B90" i="8"/>
  <c r="T17" i="5"/>
  <c r="L9" i="5"/>
  <c r="L20" i="3"/>
  <c r="L21" i="3"/>
  <c r="L16" i="3"/>
  <c r="Q7" i="3"/>
  <c r="R36" i="2"/>
  <c r="O9" i="3"/>
  <c r="O53" i="2"/>
  <c r="O52" i="2"/>
  <c r="N22" i="3"/>
  <c r="N14" i="3"/>
  <c r="L76" i="8"/>
  <c r="L77" i="8" s="1"/>
  <c r="L82" i="8" s="1"/>
  <c r="L84" i="8" s="1"/>
  <c r="L36" i="8"/>
  <c r="L37" i="8" s="1"/>
  <c r="L42" i="8" s="1"/>
  <c r="L44" i="8" s="1"/>
  <c r="L56" i="8"/>
  <c r="C66" i="8"/>
  <c r="C11" i="6"/>
  <c r="M8" i="5"/>
  <c r="Z14" i="3"/>
  <c r="M15" i="3"/>
  <c r="Q37" i="2"/>
  <c r="P44" i="2"/>
  <c r="T49" i="2"/>
  <c r="W29" i="2"/>
  <c r="W30" i="2" s="1"/>
  <c r="Y40" i="2"/>
  <c r="AA15" i="2"/>
  <c r="T80" i="8"/>
  <c r="T60" i="8"/>
  <c r="T40" i="8"/>
  <c r="T16" i="5"/>
  <c r="L17" i="3"/>
  <c r="S50" i="2"/>
  <c r="S34" i="2"/>
  <c r="S31" i="2"/>
  <c r="T31" i="2" s="1"/>
  <c r="U31" i="2" s="1"/>
  <c r="Y9" i="2"/>
  <c r="Y14" i="2"/>
  <c r="AA14" i="2" s="1"/>
  <c r="AA7" i="2"/>
  <c r="H45" i="8"/>
  <c r="H46" i="8"/>
  <c r="U17" i="5"/>
  <c r="K62" i="8" l="1"/>
  <c r="K23" i="5"/>
  <c r="K21" i="5"/>
  <c r="M9" i="5"/>
  <c r="M20" i="3"/>
  <c r="Z20" i="3" s="1"/>
  <c r="M21" i="3"/>
  <c r="Z21" i="3" s="1"/>
  <c r="Z15" i="3"/>
  <c r="Z16" i="3" s="1"/>
  <c r="M16" i="3"/>
  <c r="S36" i="2"/>
  <c r="R7" i="3"/>
  <c r="W34" i="2"/>
  <c r="W35" i="2" s="1"/>
  <c r="W51" i="2" s="1"/>
  <c r="W50" i="2"/>
  <c r="C67" i="8"/>
  <c r="C19" i="6"/>
  <c r="L57" i="8"/>
  <c r="L10" i="5"/>
  <c r="L29" i="5"/>
  <c r="L20" i="5"/>
  <c r="L31" i="5"/>
  <c r="L30" i="5"/>
  <c r="K84" i="8"/>
  <c r="F70" i="8"/>
  <c r="F7" i="7"/>
  <c r="F9" i="7" s="1"/>
  <c r="F22" i="6"/>
  <c r="F72" i="8" s="1"/>
  <c r="K44" i="8"/>
  <c r="B52" i="8"/>
  <c r="E19" i="6"/>
  <c r="E67" i="8"/>
  <c r="L45" i="8"/>
  <c r="L46" i="8" s="1"/>
  <c r="L47" i="8" s="1"/>
  <c r="L50" i="8" s="1"/>
  <c r="L52" i="8" s="1"/>
  <c r="X29" i="2"/>
  <c r="X30" i="2" s="1"/>
  <c r="U49" i="2"/>
  <c r="G67" i="8"/>
  <c r="G19" i="6"/>
  <c r="O75" i="8"/>
  <c r="O55" i="8"/>
  <c r="O35" i="8"/>
  <c r="H66" i="8"/>
  <c r="H11" i="6"/>
  <c r="Y7" i="4"/>
  <c r="AA9" i="2"/>
  <c r="C42" i="9" s="1"/>
  <c r="D42" i="9" s="1"/>
  <c r="Q44" i="2"/>
  <c r="R37" i="2"/>
  <c r="O14" i="3"/>
  <c r="O22" i="3"/>
  <c r="P7" i="5"/>
  <c r="V25" i="2"/>
  <c r="V47" i="2"/>
  <c r="V60" i="8"/>
  <c r="V80" i="8"/>
  <c r="V40" i="8"/>
  <c r="V16" i="5"/>
  <c r="S49" i="2"/>
  <c r="V29" i="2"/>
  <c r="H87" i="8"/>
  <c r="W25" i="2"/>
  <c r="W47" i="2"/>
  <c r="V17" i="5"/>
  <c r="B67" i="8"/>
  <c r="B19" i="6"/>
  <c r="L85" i="8"/>
  <c r="L86" i="8"/>
  <c r="L87" i="8" s="1"/>
  <c r="L90" i="8" s="1"/>
  <c r="L92" i="8" s="1"/>
  <c r="S35" i="2"/>
  <c r="Z17" i="3"/>
  <c r="N8" i="5"/>
  <c r="N15" i="3"/>
  <c r="N17" i="3" s="1"/>
  <c r="Q23" i="3"/>
  <c r="Q13" i="3"/>
  <c r="Y16" i="2"/>
  <c r="X21" i="2"/>
  <c r="X23" i="2" s="1"/>
  <c r="X24" i="2" s="1"/>
  <c r="X18" i="2"/>
  <c r="X10" i="4" s="1"/>
  <c r="P9" i="3"/>
  <c r="P53" i="2"/>
  <c r="P52" i="2"/>
  <c r="Y41" i="2"/>
  <c r="AA40" i="2"/>
  <c r="M17" i="3"/>
  <c r="B92" i="8"/>
  <c r="I65" i="8"/>
  <c r="I8" i="6"/>
  <c r="W23" i="4"/>
  <c r="W24" i="4" s="1"/>
  <c r="W20" i="4"/>
  <c r="W21" i="4" s="1"/>
  <c r="D19" i="6"/>
  <c r="D67" i="8"/>
  <c r="H47" i="8"/>
  <c r="M76" i="8"/>
  <c r="M56" i="8"/>
  <c r="Z56" i="8" s="1"/>
  <c r="M36" i="8"/>
  <c r="Z8" i="5"/>
  <c r="J64" i="8"/>
  <c r="J25" i="5"/>
  <c r="J26" i="5" s="1"/>
  <c r="J7" i="6"/>
  <c r="J24" i="5"/>
  <c r="Y22" i="2"/>
  <c r="AA22" i="2" s="1"/>
  <c r="AA17" i="2"/>
  <c r="I25" i="5"/>
  <c r="L62" i="8" l="1"/>
  <c r="L23" i="5"/>
  <c r="L21" i="5"/>
  <c r="H90" i="8"/>
  <c r="R44" i="2"/>
  <c r="S37" i="2"/>
  <c r="K45" i="8"/>
  <c r="K46" i="8" s="1"/>
  <c r="T36" i="2"/>
  <c r="S7" i="3"/>
  <c r="K64" i="8"/>
  <c r="K24" i="5"/>
  <c r="K7" i="6"/>
  <c r="K25" i="5"/>
  <c r="K26" i="5" s="1"/>
  <c r="X50" i="2"/>
  <c r="X34" i="2"/>
  <c r="X35" i="2" s="1"/>
  <c r="X51" i="2" s="1"/>
  <c r="P22" i="3"/>
  <c r="P14" i="3"/>
  <c r="Z76" i="8"/>
  <c r="M77" i="8"/>
  <c r="N8" i="4" a="1"/>
  <c r="N8" i="4" s="1"/>
  <c r="AA7" i="4"/>
  <c r="C70" i="8"/>
  <c r="C7" i="7"/>
  <c r="C9" i="7" s="1"/>
  <c r="C22" i="6"/>
  <c r="C72" i="8" s="1"/>
  <c r="B70" i="8"/>
  <c r="B7" i="7"/>
  <c r="B22" i="6"/>
  <c r="B20" i="6"/>
  <c r="Q52" i="2"/>
  <c r="Q9" i="3"/>
  <c r="Q53" i="2"/>
  <c r="X20" i="4"/>
  <c r="X21" i="4" s="1"/>
  <c r="X23" i="4"/>
  <c r="X24" i="4" s="1"/>
  <c r="N76" i="8"/>
  <c r="N56" i="8"/>
  <c r="N36" i="8"/>
  <c r="V30" i="2"/>
  <c r="V48" i="2"/>
  <c r="V26" i="2"/>
  <c r="H50" i="8"/>
  <c r="X25" i="2"/>
  <c r="X47" i="2"/>
  <c r="N20" i="3"/>
  <c r="N21" i="3"/>
  <c r="N9" i="5"/>
  <c r="N16" i="3"/>
  <c r="O8" i="5"/>
  <c r="O15" i="3"/>
  <c r="G70" i="8"/>
  <c r="G22" i="6"/>
  <c r="G72" i="8" s="1"/>
  <c r="G7" i="7"/>
  <c r="G9" i="7" s="1"/>
  <c r="R23" i="3"/>
  <c r="R13" i="3"/>
  <c r="I26" i="5"/>
  <c r="J65" i="8"/>
  <c r="J8" i="6"/>
  <c r="Y21" i="2"/>
  <c r="Y18" i="2"/>
  <c r="AA16" i="2"/>
  <c r="H67" i="8"/>
  <c r="H19" i="6"/>
  <c r="J9" i="6"/>
  <c r="D70" i="8"/>
  <c r="D7" i="7"/>
  <c r="D9" i="7" s="1"/>
  <c r="D22" i="6"/>
  <c r="D72" i="8" s="1"/>
  <c r="S51" i="2"/>
  <c r="K85" i="8"/>
  <c r="M57" i="8"/>
  <c r="Z57" i="8" s="1"/>
  <c r="M29" i="5"/>
  <c r="Z29" i="5" s="1"/>
  <c r="M20" i="5"/>
  <c r="M10" i="5"/>
  <c r="Z10" i="5" s="1"/>
  <c r="M31" i="5"/>
  <c r="Z31" i="5" s="1"/>
  <c r="M30" i="5"/>
  <c r="Z30" i="5" s="1"/>
  <c r="Z9" i="5"/>
  <c r="W60" i="8"/>
  <c r="W80" i="8"/>
  <c r="W40" i="8"/>
  <c r="W16" i="5"/>
  <c r="E70" i="8"/>
  <c r="E7" i="7"/>
  <c r="E9" i="7" s="1"/>
  <c r="E22" i="6"/>
  <c r="E72" i="8" s="1"/>
  <c r="I9" i="6"/>
  <c r="W48" i="2"/>
  <c r="W26" i="2"/>
  <c r="W49" i="2" s="1"/>
  <c r="Z36" i="8"/>
  <c r="M37" i="8"/>
  <c r="W17" i="5"/>
  <c r="Y42" i="2"/>
  <c r="AA41" i="2"/>
  <c r="Q7" i="5"/>
  <c r="P35" i="8"/>
  <c r="P55" i="8"/>
  <c r="P75" i="8"/>
  <c r="K47" i="8" l="1"/>
  <c r="O76" i="8"/>
  <c r="O77" i="8" s="1"/>
  <c r="O56" i="8"/>
  <c r="O36" i="8"/>
  <c r="O37" i="8" s="1"/>
  <c r="H52" i="8"/>
  <c r="X17" i="5"/>
  <c r="P8" i="5"/>
  <c r="P15" i="3"/>
  <c r="S13" i="3"/>
  <c r="S23" i="3"/>
  <c r="L64" i="8"/>
  <c r="L24" i="5"/>
  <c r="L7" i="6"/>
  <c r="L25" i="5"/>
  <c r="J66" i="8"/>
  <c r="J11" i="6"/>
  <c r="X80" i="8"/>
  <c r="X60" i="8"/>
  <c r="X40" i="8"/>
  <c r="X16" i="5"/>
  <c r="Q55" i="8"/>
  <c r="Q35" i="8"/>
  <c r="Q75" i="8"/>
  <c r="H70" i="8"/>
  <c r="H22" i="6"/>
  <c r="H72" i="8" s="1"/>
  <c r="H7" i="7"/>
  <c r="H9" i="7" s="1"/>
  <c r="N57" i="8"/>
  <c r="N10" i="5"/>
  <c r="N31" i="5"/>
  <c r="Y29" i="2"/>
  <c r="V49" i="2"/>
  <c r="U36" i="2"/>
  <c r="T7" i="3"/>
  <c r="R7" i="5"/>
  <c r="Q22" i="3"/>
  <c r="Q14" i="3"/>
  <c r="A10" i="9"/>
  <c r="B16" i="9"/>
  <c r="Y53" i="9" s="1"/>
  <c r="C16" i="8"/>
  <c r="H17" i="9" s="1"/>
  <c r="B94" i="1"/>
  <c r="B34" i="9" s="1"/>
  <c r="A5" i="9"/>
  <c r="C43" i="9"/>
  <c r="D43" i="9" s="1"/>
  <c r="Y10" i="4"/>
  <c r="AA18" i="2"/>
  <c r="S44" i="2"/>
  <c r="T37" i="2"/>
  <c r="K86" i="8"/>
  <c r="AA42" i="2"/>
  <c r="Y43" i="2"/>
  <c r="AA43" i="2" s="1"/>
  <c r="I66" i="8"/>
  <c r="I11" i="6"/>
  <c r="Y23" i="2"/>
  <c r="AA21" i="2"/>
  <c r="C20" i="6"/>
  <c r="D20" i="6" s="1"/>
  <c r="E20" i="6" s="1"/>
  <c r="F20" i="6" s="1"/>
  <c r="G20" i="6" s="1"/>
  <c r="H20" i="6" s="1"/>
  <c r="N37" i="8"/>
  <c r="B72" i="8"/>
  <c r="B23" i="6"/>
  <c r="R9" i="3"/>
  <c r="R53" i="2"/>
  <c r="R52" i="2"/>
  <c r="V34" i="2"/>
  <c r="V50" i="2"/>
  <c r="V31" i="2"/>
  <c r="W31" i="2" s="1"/>
  <c r="X31" i="2" s="1"/>
  <c r="Y8" i="4"/>
  <c r="Y16" i="4" s="1"/>
  <c r="O8" i="4"/>
  <c r="O16" i="4" s="1"/>
  <c r="P8" i="4"/>
  <c r="P16" i="4" s="1"/>
  <c r="Q8" i="4"/>
  <c r="Q16" i="4" s="1"/>
  <c r="V8" i="4"/>
  <c r="V16" i="4" s="1"/>
  <c r="T8" i="4"/>
  <c r="T16" i="4" s="1"/>
  <c r="R8" i="4"/>
  <c r="R16" i="4" s="1"/>
  <c r="S8" i="4"/>
  <c r="S16" i="4" s="1"/>
  <c r="X8" i="4"/>
  <c r="X16" i="4" s="1"/>
  <c r="W8" i="4"/>
  <c r="W16" i="4" s="1"/>
  <c r="U8" i="4"/>
  <c r="U16" i="4" s="1"/>
  <c r="N16" i="4"/>
  <c r="B9" i="7"/>
  <c r="M82" i="8"/>
  <c r="Z77" i="8"/>
  <c r="D16" i="8" s="1"/>
  <c r="I17" i="9" s="1"/>
  <c r="O9" i="5"/>
  <c r="O21" i="3"/>
  <c r="O20" i="3"/>
  <c r="O16" i="3"/>
  <c r="X48" i="2"/>
  <c r="X26" i="2"/>
  <c r="X49" i="2" s="1"/>
  <c r="M42" i="8"/>
  <c r="Z37" i="8"/>
  <c r="B16" i="8" s="1"/>
  <c r="G17" i="9" s="1"/>
  <c r="M62" i="8"/>
  <c r="Z62" i="8" s="1"/>
  <c r="M21" i="5"/>
  <c r="M23" i="5"/>
  <c r="Z20" i="5"/>
  <c r="O17" i="3"/>
  <c r="N77" i="8"/>
  <c r="K65" i="8"/>
  <c r="K8" i="6"/>
  <c r="K9" i="6" s="1"/>
  <c r="H92" i="8"/>
  <c r="K66" i="8" l="1"/>
  <c r="K11" i="6"/>
  <c r="Q18" i="4"/>
  <c r="W17" i="4"/>
  <c r="T18" i="4"/>
  <c r="X17" i="4"/>
  <c r="AA16" i="4"/>
  <c r="V18" i="4"/>
  <c r="V17" i="4"/>
  <c r="U18" i="4"/>
  <c r="U17" i="4"/>
  <c r="P18" i="4"/>
  <c r="R17" i="4"/>
  <c r="O18" i="4"/>
  <c r="Q17" i="4"/>
  <c r="N18" i="4"/>
  <c r="P17" i="4"/>
  <c r="Y18" i="4"/>
  <c r="X18" i="4"/>
  <c r="W18" i="4"/>
  <c r="Y17" i="4"/>
  <c r="S18" i="4"/>
  <c r="T17" i="4"/>
  <c r="R18" i="4"/>
  <c r="S17" i="4"/>
  <c r="O17" i="4"/>
  <c r="N17" i="4"/>
  <c r="AA8" i="4"/>
  <c r="T23" i="3"/>
  <c r="T13" i="3"/>
  <c r="S7" i="5"/>
  <c r="R22" i="3"/>
  <c r="R14" i="3"/>
  <c r="K87" i="8"/>
  <c r="U7" i="3"/>
  <c r="V36" i="2"/>
  <c r="M44" i="8"/>
  <c r="Z42" i="8"/>
  <c r="B20" i="8" s="1"/>
  <c r="S52" i="2"/>
  <c r="S53" i="2"/>
  <c r="S9" i="3"/>
  <c r="J67" i="8"/>
  <c r="J19" i="6"/>
  <c r="P20" i="3"/>
  <c r="P9" i="5"/>
  <c r="P21" i="3"/>
  <c r="P16" i="3"/>
  <c r="Y24" i="2"/>
  <c r="AA23" i="2"/>
  <c r="Y30" i="2"/>
  <c r="AA29" i="2"/>
  <c r="P17" i="3"/>
  <c r="O57" i="8"/>
  <c r="O10" i="5"/>
  <c r="O31" i="5"/>
  <c r="T44" i="2"/>
  <c r="U37" i="2"/>
  <c r="Y20" i="4"/>
  <c r="Y23" i="4"/>
  <c r="AA10" i="4"/>
  <c r="L26" i="5"/>
  <c r="P76" i="8"/>
  <c r="P56" i="8"/>
  <c r="P36" i="8"/>
  <c r="P37" i="8" s="1"/>
  <c r="M84" i="8"/>
  <c r="Z82" i="8"/>
  <c r="D20" i="8" s="1"/>
  <c r="L9" i="6"/>
  <c r="Z7" i="6"/>
  <c r="C23" i="6"/>
  <c r="D23" i="6" s="1"/>
  <c r="E23" i="6" s="1"/>
  <c r="F23" i="6" s="1"/>
  <c r="G23" i="6" s="1"/>
  <c r="H23" i="6" s="1"/>
  <c r="Q8" i="5"/>
  <c r="Q15" i="3"/>
  <c r="V35" i="2"/>
  <c r="I67" i="8"/>
  <c r="I19" i="6"/>
  <c r="L65" i="8"/>
  <c r="L8" i="6"/>
  <c r="R55" i="8"/>
  <c r="R35" i="8"/>
  <c r="R75" i="8"/>
  <c r="D10" i="9"/>
  <c r="B18" i="9"/>
  <c r="Y55" i="9" s="1"/>
  <c r="C20" i="8"/>
  <c r="Z21" i="5"/>
  <c r="M64" i="8"/>
  <c r="Z64" i="8" s="1"/>
  <c r="M7" i="6"/>
  <c r="M24" i="5"/>
  <c r="M25" i="5"/>
  <c r="M26" i="5" s="1"/>
  <c r="Z23" i="5"/>
  <c r="I20" i="6"/>
  <c r="K50" i="8"/>
  <c r="Y21" i="4" l="1"/>
  <c r="AA20" i="4"/>
  <c r="G18" i="9"/>
  <c r="AF3" i="8"/>
  <c r="T79" i="8"/>
  <c r="T81" i="8" s="1"/>
  <c r="T59" i="8"/>
  <c r="T39" i="8"/>
  <c r="T41" i="8" s="1"/>
  <c r="T15" i="5"/>
  <c r="T30" i="4"/>
  <c r="T27" i="4"/>
  <c r="R59" i="8"/>
  <c r="R79" i="8"/>
  <c r="R81" i="8" s="1"/>
  <c r="R39" i="8"/>
  <c r="R41" i="8" s="1"/>
  <c r="R15" i="5"/>
  <c r="R30" i="4"/>
  <c r="R27" i="4"/>
  <c r="O79" i="8"/>
  <c r="O81" i="8" s="1"/>
  <c r="O82" i="8" s="1"/>
  <c r="O84" i="8" s="1"/>
  <c r="O59" i="8"/>
  <c r="O39" i="8"/>
  <c r="O41" i="8" s="1"/>
  <c r="O42" i="8" s="1"/>
  <c r="O44" i="8" s="1"/>
  <c r="O15" i="5"/>
  <c r="O30" i="5" s="1"/>
  <c r="O27" i="4"/>
  <c r="P57" i="8"/>
  <c r="P10" i="5"/>
  <c r="P31" i="5"/>
  <c r="Q79" i="8"/>
  <c r="Q81" i="8" s="1"/>
  <c r="Q59" i="8"/>
  <c r="Q39" i="8"/>
  <c r="Q41" i="8" s="1"/>
  <c r="Q15" i="5"/>
  <c r="Q30" i="4"/>
  <c r="Q27" i="4"/>
  <c r="P42" i="8"/>
  <c r="P44" i="8" s="1"/>
  <c r="V51" i="2"/>
  <c r="Z25" i="5"/>
  <c r="U44" i="2"/>
  <c r="V37" i="2"/>
  <c r="S75" i="8"/>
  <c r="S55" i="8"/>
  <c r="S35" i="8"/>
  <c r="S59" i="8"/>
  <c r="S79" i="8"/>
  <c r="S81" i="8" s="1"/>
  <c r="S15" i="5"/>
  <c r="S39" i="8"/>
  <c r="S41" i="8" s="1"/>
  <c r="S27" i="4"/>
  <c r="P79" i="8"/>
  <c r="P81" i="8" s="1"/>
  <c r="P59" i="8"/>
  <c r="P39" i="8"/>
  <c r="P41" i="8" s="1"/>
  <c r="P15" i="5"/>
  <c r="P30" i="5" s="1"/>
  <c r="P27" i="4"/>
  <c r="P30" i="4"/>
  <c r="Q9" i="5"/>
  <c r="Q20" i="3"/>
  <c r="Q21" i="3"/>
  <c r="Q16" i="3"/>
  <c r="T53" i="2"/>
  <c r="T52" i="2"/>
  <c r="T9" i="3"/>
  <c r="Y50" i="2"/>
  <c r="AA50" i="2" s="1"/>
  <c r="Y34" i="2"/>
  <c r="AA30" i="2"/>
  <c r="J70" i="8"/>
  <c r="J7" i="7"/>
  <c r="J9" i="7" s="1"/>
  <c r="J22" i="6"/>
  <c r="J72" i="8" s="1"/>
  <c r="V7" i="3"/>
  <c r="W36" i="2"/>
  <c r="M45" i="8"/>
  <c r="Z45" i="8" s="1"/>
  <c r="Z44" i="8"/>
  <c r="M65" i="8"/>
  <c r="Z65" i="8" s="1"/>
  <c r="M8" i="6"/>
  <c r="Z8" i="6" s="1"/>
  <c r="L66" i="8"/>
  <c r="L11" i="6"/>
  <c r="P77" i="8"/>
  <c r="Z24" i="5"/>
  <c r="Q17" i="3"/>
  <c r="U13" i="3"/>
  <c r="U23" i="3"/>
  <c r="T7" i="5"/>
  <c r="W79" i="8"/>
  <c r="W81" i="8" s="1"/>
  <c r="W59" i="8"/>
  <c r="W39" i="8"/>
  <c r="W41" i="8" s="1"/>
  <c r="W30" i="4"/>
  <c r="W15" i="5"/>
  <c r="W27" i="4"/>
  <c r="U79" i="8"/>
  <c r="U81" i="8" s="1"/>
  <c r="U59" i="8"/>
  <c r="U39" i="8"/>
  <c r="U41" i="8" s="1"/>
  <c r="U30" i="4"/>
  <c r="U15" i="5"/>
  <c r="U27" i="4"/>
  <c r="K67" i="8"/>
  <c r="K19" i="6"/>
  <c r="I70" i="8"/>
  <c r="I22" i="6"/>
  <c r="I23" i="6" s="1"/>
  <c r="I7" i="7"/>
  <c r="Y25" i="2"/>
  <c r="Y47" i="2"/>
  <c r="AA47" i="2" s="1"/>
  <c r="AA24" i="2"/>
  <c r="X79" i="8"/>
  <c r="X81" i="8" s="1"/>
  <c r="X59" i="8"/>
  <c r="X39" i="8"/>
  <c r="X41" i="8" s="1"/>
  <c r="X15" i="5"/>
  <c r="X27" i="4"/>
  <c r="M9" i="6"/>
  <c r="H18" i="9"/>
  <c r="AG3" i="8"/>
  <c r="Q76" i="8"/>
  <c r="Q77" i="8" s="1"/>
  <c r="Q82" i="8" s="1"/>
  <c r="Q84" i="8" s="1"/>
  <c r="Q56" i="8"/>
  <c r="Q36" i="8"/>
  <c r="Q37" i="8" s="1"/>
  <c r="Q42" i="8" s="1"/>
  <c r="Q44" i="8" s="1"/>
  <c r="I18" i="9"/>
  <c r="AH3" i="8"/>
  <c r="M85" i="8"/>
  <c r="Z85" i="8" s="1"/>
  <c r="Z84" i="8"/>
  <c r="K90" i="8"/>
  <c r="Y79" i="8"/>
  <c r="Y59" i="8"/>
  <c r="Y39" i="8"/>
  <c r="Y15" i="5"/>
  <c r="Y27" i="4"/>
  <c r="V79" i="8"/>
  <c r="V81" i="8" s="1"/>
  <c r="V39" i="8"/>
  <c r="V41" i="8" s="1"/>
  <c r="V59" i="8"/>
  <c r="V15" i="5"/>
  <c r="V27" i="4"/>
  <c r="V30" i="4" s="1"/>
  <c r="S22" i="3"/>
  <c r="S14" i="3"/>
  <c r="K52" i="8"/>
  <c r="Y31" i="2"/>
  <c r="R8" i="5"/>
  <c r="R15" i="3"/>
  <c r="AA17" i="4"/>
  <c r="J20" i="6"/>
  <c r="Y24" i="4"/>
  <c r="AA23" i="4"/>
  <c r="N79" i="8"/>
  <c r="N59" i="8"/>
  <c r="N39" i="8"/>
  <c r="AA18" i="4"/>
  <c r="N15" i="5"/>
  <c r="N30" i="4"/>
  <c r="N27" i="4"/>
  <c r="J23" i="6" l="1"/>
  <c r="K23" i="6" s="1"/>
  <c r="Y26" i="2"/>
  <c r="Y48" i="2"/>
  <c r="AA48" i="2" s="1"/>
  <c r="AA25" i="2"/>
  <c r="L67" i="8"/>
  <c r="L19" i="6"/>
  <c r="W7" i="3"/>
  <c r="X36" i="2"/>
  <c r="Q30" i="5"/>
  <c r="K7" i="7"/>
  <c r="K9" i="7" s="1"/>
  <c r="K70" i="8"/>
  <c r="K22" i="6"/>
  <c r="K72" i="8" s="1"/>
  <c r="R17" i="3"/>
  <c r="N30" i="5"/>
  <c r="AA15" i="5"/>
  <c r="C24" i="9" s="1"/>
  <c r="C25" i="9" s="1"/>
  <c r="M86" i="8"/>
  <c r="M66" i="8"/>
  <c r="M11" i="6"/>
  <c r="Z66" i="8"/>
  <c r="V23" i="3"/>
  <c r="V13" i="3"/>
  <c r="X61" i="8"/>
  <c r="X19" i="5"/>
  <c r="X35" i="4"/>
  <c r="X28" i="4"/>
  <c r="X34" i="4" s="1"/>
  <c r="X31" i="4"/>
  <c r="X32" i="4"/>
  <c r="X33" i="4"/>
  <c r="T75" i="8"/>
  <c r="T55" i="8"/>
  <c r="T35" i="8"/>
  <c r="S61" i="8"/>
  <c r="S35" i="4"/>
  <c r="S19" i="5"/>
  <c r="S28" i="4"/>
  <c r="S34" i="4" s="1"/>
  <c r="S31" i="4"/>
  <c r="S32" i="4"/>
  <c r="S33" i="4"/>
  <c r="W37" i="2"/>
  <c r="V44" i="2"/>
  <c r="O61" i="8"/>
  <c r="O19" i="5"/>
  <c r="O35" i="4"/>
  <c r="O31" i="4"/>
  <c r="O28" i="4"/>
  <c r="O34" i="4" s="1"/>
  <c r="O33" i="4"/>
  <c r="O32" i="4"/>
  <c r="AA79" i="8"/>
  <c r="N81" i="8"/>
  <c r="Y61" i="8"/>
  <c r="Y19" i="5"/>
  <c r="Y35" i="4"/>
  <c r="Y31" i="4"/>
  <c r="Y28" i="4"/>
  <c r="Y34" i="4" s="1"/>
  <c r="AA39" i="8"/>
  <c r="N41" i="8"/>
  <c r="K20" i="6"/>
  <c r="Y30" i="4"/>
  <c r="I9" i="7"/>
  <c r="S30" i="4"/>
  <c r="U9" i="3"/>
  <c r="U53" i="2"/>
  <c r="U52" i="2"/>
  <c r="O30" i="4"/>
  <c r="Y80" i="8"/>
  <c r="AA80" i="8" s="1"/>
  <c r="Y60" i="8"/>
  <c r="AA60" i="8" s="1"/>
  <c r="Y40" i="8"/>
  <c r="AA40" i="8" s="1"/>
  <c r="Y16" i="5"/>
  <c r="AA16" i="5" s="1"/>
  <c r="Y32" i="4"/>
  <c r="AA21" i="4"/>
  <c r="Q57" i="8"/>
  <c r="Q10" i="5"/>
  <c r="Q31" i="5"/>
  <c r="AA59" i="8"/>
  <c r="S8" i="5"/>
  <c r="S17" i="3"/>
  <c r="S15" i="3"/>
  <c r="X30" i="4"/>
  <c r="I72" i="8"/>
  <c r="W61" i="8"/>
  <c r="W19" i="5"/>
  <c r="W35" i="4"/>
  <c r="W31" i="4"/>
  <c r="W28" i="4"/>
  <c r="W34" i="4" s="1"/>
  <c r="W33" i="4"/>
  <c r="W32" i="4"/>
  <c r="U7" i="5"/>
  <c r="B19" i="9"/>
  <c r="Y56" i="9" s="1"/>
  <c r="Z26" i="5"/>
  <c r="T61" i="8"/>
  <c r="T35" i="4"/>
  <c r="T19" i="5"/>
  <c r="T28" i="4"/>
  <c r="T34" i="4" s="1"/>
  <c r="T31" i="4"/>
  <c r="T33" i="4"/>
  <c r="T32" i="4"/>
  <c r="O45" i="8"/>
  <c r="O46" i="8" s="1"/>
  <c r="O47" i="8" s="1"/>
  <c r="O50" i="8" s="1"/>
  <c r="O52" i="8" s="1"/>
  <c r="V61" i="8"/>
  <c r="V19" i="5"/>
  <c r="V35" i="4"/>
  <c r="V28" i="4"/>
  <c r="V34" i="4" s="1"/>
  <c r="V31" i="4"/>
  <c r="V32" i="4"/>
  <c r="V33" i="4"/>
  <c r="Q46" i="8"/>
  <c r="Q47" i="8" s="1"/>
  <c r="Q50" i="8" s="1"/>
  <c r="Q52" i="8" s="1"/>
  <c r="Q45" i="8"/>
  <c r="Y35" i="2"/>
  <c r="AA34" i="2"/>
  <c r="Z9" i="6"/>
  <c r="O86" i="8"/>
  <c r="O87" i="8" s="1"/>
  <c r="O90" i="8" s="1"/>
  <c r="O92" i="8" s="1"/>
  <c r="O85" i="8"/>
  <c r="R9" i="5"/>
  <c r="R20" i="3"/>
  <c r="R21" i="3"/>
  <c r="R16" i="3"/>
  <c r="P46" i="8"/>
  <c r="P47" i="8" s="1"/>
  <c r="P50" i="8" s="1"/>
  <c r="P52" i="8" s="1"/>
  <c r="P45" i="8"/>
  <c r="Y81" i="8"/>
  <c r="Y41" i="8"/>
  <c r="Y17" i="5"/>
  <c r="AA17" i="5" s="1"/>
  <c r="Y33" i="4"/>
  <c r="AA24" i="4"/>
  <c r="AA33" i="4" s="1"/>
  <c r="R76" i="8"/>
  <c r="R77" i="8" s="1"/>
  <c r="R82" i="8" s="1"/>
  <c r="R84" i="8" s="1"/>
  <c r="R56" i="8"/>
  <c r="R36" i="8"/>
  <c r="R37" i="8" s="1"/>
  <c r="R42" i="8" s="1"/>
  <c r="R44" i="8" s="1"/>
  <c r="U61" i="8"/>
  <c r="U35" i="4"/>
  <c r="U19" i="5"/>
  <c r="U28" i="4"/>
  <c r="U34" i="4" s="1"/>
  <c r="U31" i="4"/>
  <c r="U32" i="4"/>
  <c r="U33" i="4"/>
  <c r="T14" i="3"/>
  <c r="T22" i="3"/>
  <c r="Q61" i="8"/>
  <c r="Q35" i="4"/>
  <c r="Q19" i="5"/>
  <c r="Q29" i="5" s="1"/>
  <c r="Q28" i="4"/>
  <c r="Q34" i="4" s="1"/>
  <c r="Q31" i="4"/>
  <c r="Q32" i="4"/>
  <c r="Q33" i="4"/>
  <c r="R61" i="8"/>
  <c r="R35" i="4"/>
  <c r="R19" i="5"/>
  <c r="R28" i="4"/>
  <c r="R34" i="4" s="1"/>
  <c r="R31" i="4"/>
  <c r="R33" i="4"/>
  <c r="R32" i="4"/>
  <c r="M46" i="8"/>
  <c r="P61" i="8"/>
  <c r="P19" i="5"/>
  <c r="P31" i="4"/>
  <c r="P35" i="4"/>
  <c r="P28" i="4"/>
  <c r="P34" i="4" s="1"/>
  <c r="P33" i="4"/>
  <c r="P32" i="4"/>
  <c r="Q85" i="8"/>
  <c r="Q86" i="8"/>
  <c r="Q87" i="8" s="1"/>
  <c r="Q90" i="8" s="1"/>
  <c r="Q92" i="8" s="1"/>
  <c r="N61" i="8"/>
  <c r="N19" i="5"/>
  <c r="N35" i="4"/>
  <c r="AA35" i="4" s="1"/>
  <c r="AA27" i="4"/>
  <c r="N28" i="4"/>
  <c r="N31" i="4"/>
  <c r="N33" i="4"/>
  <c r="N32" i="4"/>
  <c r="D5" i="9"/>
  <c r="AA31" i="2"/>
  <c r="K92" i="8"/>
  <c r="P82" i="8"/>
  <c r="P84" i="8" s="1"/>
  <c r="S20" i="3" l="1"/>
  <c r="S9" i="5"/>
  <c r="S21" i="3"/>
  <c r="S16" i="3"/>
  <c r="AA32" i="4"/>
  <c r="Y49" i="2"/>
  <c r="AA49" i="2" s="1"/>
  <c r="AA26" i="2"/>
  <c r="AA61" i="8"/>
  <c r="M47" i="8"/>
  <c r="Z46" i="8"/>
  <c r="R57" i="8"/>
  <c r="R29" i="5"/>
  <c r="R10" i="5"/>
  <c r="R20" i="5"/>
  <c r="R31" i="5"/>
  <c r="R30" i="5"/>
  <c r="P85" i="8"/>
  <c r="P86" i="8" s="1"/>
  <c r="P87" i="8" s="1"/>
  <c r="P90" i="8" s="1"/>
  <c r="P92" i="8" s="1"/>
  <c r="AA28" i="4"/>
  <c r="AA34" i="4" s="1"/>
  <c r="N34" i="4"/>
  <c r="S76" i="8"/>
  <c r="S56" i="8"/>
  <c r="S36" i="8"/>
  <c r="M67" i="8"/>
  <c r="Z67" i="8" s="1"/>
  <c r="M19" i="6"/>
  <c r="C19" i="8"/>
  <c r="AA31" i="4"/>
  <c r="Y36" i="2"/>
  <c r="X7" i="3"/>
  <c r="T8" i="5"/>
  <c r="T17" i="3"/>
  <c r="T15" i="3"/>
  <c r="R45" i="8"/>
  <c r="R46" i="8" s="1"/>
  <c r="R47" i="8" s="1"/>
  <c r="R50" i="8" s="1"/>
  <c r="R52" i="8" s="1"/>
  <c r="Y51" i="2"/>
  <c r="AA51" i="2" s="1"/>
  <c r="AA35" i="2"/>
  <c r="AA30" i="4"/>
  <c r="O20" i="5"/>
  <c r="O29" i="5"/>
  <c r="M87" i="8"/>
  <c r="Z86" i="8"/>
  <c r="W13" i="3"/>
  <c r="W23" i="3"/>
  <c r="AA19" i="5"/>
  <c r="N29" i="5"/>
  <c r="N20" i="5"/>
  <c r="P20" i="5"/>
  <c r="P29" i="5"/>
  <c r="Q20" i="5"/>
  <c r="Z11" i="6"/>
  <c r="L23" i="6"/>
  <c r="R85" i="8"/>
  <c r="R86" i="8" s="1"/>
  <c r="R87" i="8" s="1"/>
  <c r="R90" i="8" s="1"/>
  <c r="R92" i="8" s="1"/>
  <c r="L20" i="6"/>
  <c r="V53" i="2"/>
  <c r="V52" i="2"/>
  <c r="V9" i="3"/>
  <c r="L70" i="8"/>
  <c r="L7" i="7"/>
  <c r="L9" i="7" s="1"/>
  <c r="L22" i="6"/>
  <c r="AA41" i="8"/>
  <c r="B19" i="8" s="1"/>
  <c r="N42" i="8"/>
  <c r="AA81" i="8"/>
  <c r="D19" i="8" s="1"/>
  <c r="N82" i="8"/>
  <c r="X37" i="2"/>
  <c r="W44" i="2"/>
  <c r="U75" i="8"/>
  <c r="U55" i="8"/>
  <c r="U35" i="8"/>
  <c r="V7" i="5"/>
  <c r="U22" i="3"/>
  <c r="U14" i="3"/>
  <c r="M50" i="8" l="1"/>
  <c r="Z47" i="8"/>
  <c r="V22" i="3"/>
  <c r="V14" i="3"/>
  <c r="N84" i="8"/>
  <c r="M70" i="8"/>
  <c r="Z70" i="8" s="1"/>
  <c r="M7" i="7"/>
  <c r="M22" i="6"/>
  <c r="M72" i="8" s="1"/>
  <c r="Z19" i="6"/>
  <c r="V55" i="8"/>
  <c r="V75" i="8"/>
  <c r="V35" i="8"/>
  <c r="Q62" i="8"/>
  <c r="Q23" i="5"/>
  <c r="Q21" i="5"/>
  <c r="W7" i="5"/>
  <c r="T21" i="3"/>
  <c r="T9" i="5"/>
  <c r="T20" i="3"/>
  <c r="T16" i="3"/>
  <c r="W53" i="2"/>
  <c r="W52" i="2"/>
  <c r="W9" i="3"/>
  <c r="M90" i="8"/>
  <c r="Z87" i="8"/>
  <c r="T76" i="8"/>
  <c r="T77" i="8" s="1"/>
  <c r="T82" i="8" s="1"/>
  <c r="T84" i="8" s="1"/>
  <c r="T36" i="8"/>
  <c r="T37" i="8" s="1"/>
  <c r="T42" i="8" s="1"/>
  <c r="T44" i="8" s="1"/>
  <c r="T56" i="8"/>
  <c r="S37" i="8"/>
  <c r="R62" i="8"/>
  <c r="R23" i="5"/>
  <c r="R21" i="5"/>
  <c r="M23" i="6"/>
  <c r="X23" i="3"/>
  <c r="X13" i="3"/>
  <c r="P62" i="8"/>
  <c r="P23" i="5"/>
  <c r="P21" i="5"/>
  <c r="C44" i="9"/>
  <c r="D44" i="9" s="1"/>
  <c r="G5" i="9"/>
  <c r="AA36" i="2"/>
  <c r="Y7" i="3"/>
  <c r="S77" i="8"/>
  <c r="S57" i="8"/>
  <c r="S20" i="5"/>
  <c r="S29" i="5"/>
  <c r="S10" i="5"/>
  <c r="S31" i="5"/>
  <c r="S30" i="5"/>
  <c r="U8" i="5"/>
  <c r="U15" i="3"/>
  <c r="C47" i="9"/>
  <c r="D47" i="9" s="1"/>
  <c r="C17" i="9"/>
  <c r="Z54" i="9" s="1"/>
  <c r="Y37" i="2"/>
  <c r="X44" i="2"/>
  <c r="N44" i="8"/>
  <c r="M20" i="6"/>
  <c r="L72" i="8"/>
  <c r="Z72" i="8" s="1"/>
  <c r="Z22" i="6"/>
  <c r="N62" i="8"/>
  <c r="N21" i="5"/>
  <c r="N23" i="5"/>
  <c r="O62" i="8"/>
  <c r="O21" i="5"/>
  <c r="O23" i="5"/>
  <c r="W55" i="8" l="1"/>
  <c r="W75" i="8"/>
  <c r="W35" i="8"/>
  <c r="R64" i="8"/>
  <c r="R7" i="6"/>
  <c r="R24" i="5"/>
  <c r="R25" i="5"/>
  <c r="R26" i="5" s="1"/>
  <c r="W14" i="3"/>
  <c r="W22" i="3"/>
  <c r="N85" i="8"/>
  <c r="V8" i="5"/>
  <c r="V15" i="3"/>
  <c r="X7" i="5"/>
  <c r="O64" i="8"/>
  <c r="O24" i="5"/>
  <c r="O7" i="6"/>
  <c r="O25" i="5"/>
  <c r="O26" i="5" s="1"/>
  <c r="Z20" i="6"/>
  <c r="N45" i="8"/>
  <c r="P64" i="8"/>
  <c r="P24" i="5"/>
  <c r="P25" i="5"/>
  <c r="P26" i="5" s="1"/>
  <c r="P7" i="6"/>
  <c r="S42" i="8"/>
  <c r="S62" i="8"/>
  <c r="S21" i="5"/>
  <c r="S23" i="5"/>
  <c r="T45" i="8"/>
  <c r="T46" i="8"/>
  <c r="T47" i="8" s="1"/>
  <c r="T50" i="8" s="1"/>
  <c r="T52" i="8" s="1"/>
  <c r="T57" i="8"/>
  <c r="T20" i="5"/>
  <c r="T29" i="5"/>
  <c r="T10" i="5"/>
  <c r="T31" i="5"/>
  <c r="T30" i="5"/>
  <c r="M52" i="8"/>
  <c r="Z52" i="8" s="1"/>
  <c r="Z50" i="8"/>
  <c r="B22" i="8" s="1"/>
  <c r="X52" i="2"/>
  <c r="X53" i="2"/>
  <c r="X9" i="3"/>
  <c r="U9" i="5"/>
  <c r="U21" i="3"/>
  <c r="U20" i="3"/>
  <c r="U16" i="3"/>
  <c r="S82" i="8"/>
  <c r="T85" i="8"/>
  <c r="T86" i="8"/>
  <c r="T87" i="8" s="1"/>
  <c r="T90" i="8" s="1"/>
  <c r="T92" i="8" s="1"/>
  <c r="G10" i="9"/>
  <c r="B20" i="9"/>
  <c r="Y57" i="9" s="1"/>
  <c r="C22" i="8"/>
  <c r="B29" i="6"/>
  <c r="Q64" i="8"/>
  <c r="Q24" i="5"/>
  <c r="Q7" i="6"/>
  <c r="Q25" i="5"/>
  <c r="Q26" i="5" s="1"/>
  <c r="N64" i="8"/>
  <c r="N7" i="6"/>
  <c r="N24" i="5"/>
  <c r="N25" i="5"/>
  <c r="U17" i="3"/>
  <c r="AA7" i="3"/>
  <c r="Y23" i="3"/>
  <c r="AA23" i="3" s="1"/>
  <c r="Y13" i="3"/>
  <c r="Y44" i="2"/>
  <c r="AA37" i="2"/>
  <c r="U76" i="8"/>
  <c r="U56" i="8"/>
  <c r="U36" i="8"/>
  <c r="U37" i="8" s="1"/>
  <c r="U42" i="8" s="1"/>
  <c r="U44" i="8" s="1"/>
  <c r="Z23" i="6"/>
  <c r="M92" i="8"/>
  <c r="Z92" i="8" s="1"/>
  <c r="Z90" i="8"/>
  <c r="D22" i="8" s="1"/>
  <c r="M9" i="7"/>
  <c r="Z9" i="7" s="1"/>
  <c r="Z7" i="7"/>
  <c r="X75" i="8" l="1"/>
  <c r="X55" i="8"/>
  <c r="X35" i="8"/>
  <c r="W8" i="5"/>
  <c r="W15" i="3"/>
  <c r="R65" i="8"/>
  <c r="R8" i="6"/>
  <c r="R9" i="6" s="1"/>
  <c r="X22" i="3"/>
  <c r="X14" i="3"/>
  <c r="V76" i="8"/>
  <c r="V77" i="8" s="1"/>
  <c r="V82" i="8" s="1"/>
  <c r="V84" i="8" s="1"/>
  <c r="V56" i="8"/>
  <c r="V36" i="8"/>
  <c r="V37" i="8" s="1"/>
  <c r="V42" i="8" s="1"/>
  <c r="V44" i="8" s="1"/>
  <c r="S44" i="8"/>
  <c r="V9" i="5"/>
  <c r="V20" i="3"/>
  <c r="V21" i="3"/>
  <c r="V16" i="3"/>
  <c r="P65" i="8"/>
  <c r="P8" i="6"/>
  <c r="P9" i="6" s="1"/>
  <c r="O9" i="6"/>
  <c r="V17" i="3"/>
  <c r="N26" i="5"/>
  <c r="H19" i="9"/>
  <c r="AG4" i="8"/>
  <c r="U45" i="8"/>
  <c r="U46" i="8"/>
  <c r="U47" i="8" s="1"/>
  <c r="U50" i="8" s="1"/>
  <c r="U52" i="8" s="1"/>
  <c r="N65" i="8"/>
  <c r="N8" i="6"/>
  <c r="T62" i="8"/>
  <c r="T21" i="5"/>
  <c r="T23" i="5"/>
  <c r="O65" i="8"/>
  <c r="O8" i="6"/>
  <c r="G19" i="9"/>
  <c r="AF4" i="8"/>
  <c r="U77" i="8"/>
  <c r="J5" i="9"/>
  <c r="C45" i="9"/>
  <c r="D45" i="9" s="1"/>
  <c r="Y52" i="2"/>
  <c r="AA52" i="2" s="1"/>
  <c r="Y9" i="3"/>
  <c r="AA44" i="2"/>
  <c r="Y53" i="2"/>
  <c r="AA53" i="2" s="1"/>
  <c r="Y7" i="5"/>
  <c r="AA13" i="3"/>
  <c r="Q9" i="6"/>
  <c r="S84" i="8"/>
  <c r="S64" i="8"/>
  <c r="S7" i="6"/>
  <c r="S24" i="5"/>
  <c r="N46" i="8"/>
  <c r="N86" i="8"/>
  <c r="U57" i="8"/>
  <c r="U29" i="5"/>
  <c r="U20" i="5"/>
  <c r="U10" i="5"/>
  <c r="U31" i="5"/>
  <c r="U30" i="5"/>
  <c r="I19" i="9"/>
  <c r="AH4" i="8"/>
  <c r="Q65" i="8"/>
  <c r="Q8" i="6"/>
  <c r="R66" i="8" l="1"/>
  <c r="R11" i="6"/>
  <c r="P66" i="8"/>
  <c r="P11" i="6"/>
  <c r="V57" i="8"/>
  <c r="V29" i="5"/>
  <c r="V20" i="5"/>
  <c r="V10" i="5"/>
  <c r="V31" i="5"/>
  <c r="V30" i="5"/>
  <c r="S45" i="8"/>
  <c r="W9" i="5"/>
  <c r="W20" i="3"/>
  <c r="W21" i="3"/>
  <c r="W16" i="3"/>
  <c r="W17" i="3"/>
  <c r="T64" i="8"/>
  <c r="T7" i="6"/>
  <c r="T24" i="5"/>
  <c r="T25" i="5" s="1"/>
  <c r="T26" i="5" s="1"/>
  <c r="U62" i="8"/>
  <c r="U23" i="5"/>
  <c r="U21" i="5"/>
  <c r="S85" i="8"/>
  <c r="V85" i="8"/>
  <c r="V86" i="8" s="1"/>
  <c r="V87" i="8" s="1"/>
  <c r="V90" i="8" s="1"/>
  <c r="V92" i="8" s="1"/>
  <c r="O66" i="8"/>
  <c r="O11" i="6"/>
  <c r="V45" i="8"/>
  <c r="V46" i="8" s="1"/>
  <c r="V47" i="8" s="1"/>
  <c r="V50" i="8" s="1"/>
  <c r="V52" i="8" s="1"/>
  <c r="W76" i="8"/>
  <c r="W77" i="8" s="1"/>
  <c r="W82" i="8" s="1"/>
  <c r="W84" i="8" s="1"/>
  <c r="W56" i="8"/>
  <c r="W36" i="8"/>
  <c r="W37" i="8" s="1"/>
  <c r="W42" i="8" s="1"/>
  <c r="Q66" i="8"/>
  <c r="Q11" i="6"/>
  <c r="N87" i="8"/>
  <c r="N47" i="8"/>
  <c r="N9" i="6"/>
  <c r="X8" i="5"/>
  <c r="X15" i="3"/>
  <c r="S65" i="8"/>
  <c r="S8" i="6"/>
  <c r="S9" i="6" s="1"/>
  <c r="Y14" i="3"/>
  <c r="AA9" i="3"/>
  <c r="Y22" i="3"/>
  <c r="AA22" i="3" s="1"/>
  <c r="S25" i="5"/>
  <c r="Y75" i="8"/>
  <c r="Y55" i="8"/>
  <c r="AA55" i="8" s="1"/>
  <c r="Y35" i="8"/>
  <c r="AA7" i="5"/>
  <c r="U82" i="8"/>
  <c r="S66" i="8" l="1"/>
  <c r="S11" i="6"/>
  <c r="U64" i="8"/>
  <c r="U24" i="5"/>
  <c r="U7" i="6"/>
  <c r="U25" i="5"/>
  <c r="U26" i="5" s="1"/>
  <c r="V62" i="8"/>
  <c r="V23" i="5"/>
  <c r="V21" i="5"/>
  <c r="Q67" i="8"/>
  <c r="Q19" i="6"/>
  <c r="X9" i="5"/>
  <c r="X20" i="3"/>
  <c r="X21" i="3"/>
  <c r="X16" i="3"/>
  <c r="AA35" i="8"/>
  <c r="X17" i="3"/>
  <c r="W44" i="8"/>
  <c r="W85" i="8"/>
  <c r="W86" i="8" s="1"/>
  <c r="W87" i="8" s="1"/>
  <c r="W90" i="8" s="1"/>
  <c r="W92" i="8" s="1"/>
  <c r="P67" i="8"/>
  <c r="P19" i="6"/>
  <c r="U84" i="8"/>
  <c r="X76" i="8"/>
  <c r="X77" i="8" s="1"/>
  <c r="X82" i="8" s="1"/>
  <c r="X84" i="8" s="1"/>
  <c r="X56" i="8"/>
  <c r="X36" i="8"/>
  <c r="X37" i="8" s="1"/>
  <c r="X42" i="8" s="1"/>
  <c r="X44" i="8" s="1"/>
  <c r="T65" i="8"/>
  <c r="T8" i="6"/>
  <c r="AA75" i="8"/>
  <c r="N66" i="8"/>
  <c r="N11" i="6"/>
  <c r="S26" i="5"/>
  <c r="N50" i="8"/>
  <c r="O67" i="8"/>
  <c r="O19" i="6"/>
  <c r="S86" i="8"/>
  <c r="R67" i="8"/>
  <c r="R19" i="6"/>
  <c r="W57" i="8"/>
  <c r="W29" i="5"/>
  <c r="W10" i="5"/>
  <c r="W20" i="5"/>
  <c r="W31" i="5"/>
  <c r="W30" i="5"/>
  <c r="S46" i="8"/>
  <c r="Y8" i="5"/>
  <c r="AA14" i="3"/>
  <c r="Y15" i="3"/>
  <c r="N90" i="8"/>
  <c r="S87" i="8" l="1"/>
  <c r="U85" i="8"/>
  <c r="P70" i="8"/>
  <c r="P7" i="7"/>
  <c r="P9" i="7" s="1"/>
  <c r="P22" i="6"/>
  <c r="P72" i="8" s="1"/>
  <c r="S47" i="8"/>
  <c r="N52" i="8"/>
  <c r="Y76" i="8"/>
  <c r="Y56" i="8"/>
  <c r="AA56" i="8" s="1"/>
  <c r="Y36" i="8"/>
  <c r="AA8" i="5"/>
  <c r="T9" i="6"/>
  <c r="Y9" i="5"/>
  <c r="Y21" i="3"/>
  <c r="AA21" i="3" s="1"/>
  <c r="Y20" i="3"/>
  <c r="AA20" i="3" s="1"/>
  <c r="AA15" i="3"/>
  <c r="AA16" i="3" s="1"/>
  <c r="Y16" i="3"/>
  <c r="X45" i="8"/>
  <c r="X46" i="8" s="1"/>
  <c r="X47" i="8" s="1"/>
  <c r="X50" i="8" s="1"/>
  <c r="X52" i="8" s="1"/>
  <c r="O70" i="8"/>
  <c r="O7" i="7"/>
  <c r="O9" i="7" s="1"/>
  <c r="O22" i="6"/>
  <c r="O72" i="8" s="1"/>
  <c r="V64" i="8"/>
  <c r="V24" i="5"/>
  <c r="V7" i="6"/>
  <c r="V25" i="5"/>
  <c r="V26" i="5" s="1"/>
  <c r="N92" i="8"/>
  <c r="R70" i="8"/>
  <c r="R22" i="6"/>
  <c r="R72" i="8" s="1"/>
  <c r="R7" i="7"/>
  <c r="R9" i="7" s="1"/>
  <c r="S67" i="8"/>
  <c r="S19" i="6"/>
  <c r="W62" i="8"/>
  <c r="W21" i="5"/>
  <c r="W23" i="5"/>
  <c r="U9" i="6"/>
  <c r="U65" i="8"/>
  <c r="U8" i="6"/>
  <c r="X57" i="8"/>
  <c r="X29" i="5"/>
  <c r="X10" i="5"/>
  <c r="X20" i="5"/>
  <c r="X31" i="5"/>
  <c r="X30" i="5"/>
  <c r="Q70" i="8"/>
  <c r="Q7" i="7"/>
  <c r="Q9" i="7" s="1"/>
  <c r="Q22" i="6"/>
  <c r="Q72" i="8" s="1"/>
  <c r="Y17" i="3"/>
  <c r="N67" i="8"/>
  <c r="N19" i="6"/>
  <c r="X85" i="8"/>
  <c r="X86" i="8" s="1"/>
  <c r="X87" i="8" s="1"/>
  <c r="X90" i="8" s="1"/>
  <c r="X92" i="8" s="1"/>
  <c r="W45" i="8"/>
  <c r="W46" i="8"/>
  <c r="W47" i="8" s="1"/>
  <c r="W50" i="8" s="1"/>
  <c r="W52" i="8" s="1"/>
  <c r="N7" i="7" l="1"/>
  <c r="N70" i="8"/>
  <c r="N22" i="6"/>
  <c r="N20" i="6"/>
  <c r="AA76" i="8"/>
  <c r="Y77" i="8"/>
  <c r="U66" i="8"/>
  <c r="U11" i="6"/>
  <c r="W64" i="8"/>
  <c r="W7" i="6"/>
  <c r="W24" i="5"/>
  <c r="AA36" i="8"/>
  <c r="Y37" i="8"/>
  <c r="X62" i="8"/>
  <c r="X21" i="5"/>
  <c r="X23" i="5"/>
  <c r="S70" i="8"/>
  <c r="S22" i="6"/>
  <c r="S72" i="8" s="1"/>
  <c r="S7" i="7"/>
  <c r="S9" i="7" s="1"/>
  <c r="AA20" i="5"/>
  <c r="AA17" i="3"/>
  <c r="V65" i="8"/>
  <c r="V8" i="6"/>
  <c r="S90" i="8"/>
  <c r="T66" i="8"/>
  <c r="T11" i="6"/>
  <c r="S50" i="8"/>
  <c r="U86" i="8"/>
  <c r="V9" i="6"/>
  <c r="Y57" i="8"/>
  <c r="AA57" i="8" s="1"/>
  <c r="Y20" i="5"/>
  <c r="Y10" i="5"/>
  <c r="AA10" i="5" s="1"/>
  <c r="Y29" i="5"/>
  <c r="AA29" i="5" s="1"/>
  <c r="Y31" i="5"/>
  <c r="AA31" i="5" s="1"/>
  <c r="Y30" i="5"/>
  <c r="AA30" i="5" s="1"/>
  <c r="AA9" i="5"/>
  <c r="U87" i="8" l="1"/>
  <c r="Y82" i="8"/>
  <c r="AA77" i="8"/>
  <c r="D17" i="8" s="1"/>
  <c r="S52" i="8"/>
  <c r="V66" i="8"/>
  <c r="V11" i="6"/>
  <c r="Y42" i="8"/>
  <c r="AA37" i="8"/>
  <c r="B17" i="8" s="1"/>
  <c r="W65" i="8"/>
  <c r="W8" i="6"/>
  <c r="W9" i="6" s="1"/>
  <c r="Y62" i="8"/>
  <c r="AA62" i="8" s="1"/>
  <c r="Y23" i="5"/>
  <c r="Y21" i="5"/>
  <c r="Z32" i="5" a="1"/>
  <c r="Z32" i="5" s="1"/>
  <c r="AA32" i="5" s="1"/>
  <c r="B28" i="9"/>
  <c r="S92" i="8"/>
  <c r="U67" i="8"/>
  <c r="U19" i="6"/>
  <c r="C46" i="9"/>
  <c r="D46" i="9" s="1"/>
  <c r="C16" i="9"/>
  <c r="Z53" i="9" s="1"/>
  <c r="C17" i="8"/>
  <c r="C48" i="9"/>
  <c r="D48" i="9" s="1"/>
  <c r="C18" i="9"/>
  <c r="Z55" i="9" s="1"/>
  <c r="C21" i="8"/>
  <c r="AA21" i="5"/>
  <c r="T67" i="8"/>
  <c r="T19" i="6"/>
  <c r="O20" i="6"/>
  <c r="P20" i="6" s="1"/>
  <c r="Q20" i="6" s="1"/>
  <c r="R20" i="6" s="1"/>
  <c r="S20" i="6" s="1"/>
  <c r="T20" i="6" s="1"/>
  <c r="U20" i="6" s="1"/>
  <c r="W25" i="5"/>
  <c r="N72" i="8"/>
  <c r="N23" i="6"/>
  <c r="X64" i="8"/>
  <c r="X24" i="5"/>
  <c r="X7" i="6"/>
  <c r="AA23" i="5"/>
  <c r="N9" i="7"/>
  <c r="W66" i="8" l="1"/>
  <c r="W11" i="6"/>
  <c r="Y44" i="8"/>
  <c r="AA42" i="8"/>
  <c r="B21" i="8" s="1"/>
  <c r="X65" i="8"/>
  <c r="X8" i="6"/>
  <c r="X9" i="6" s="1"/>
  <c r="X25" i="5"/>
  <c r="X26" i="5" s="1"/>
  <c r="Y64" i="8"/>
  <c r="AA64" i="8" s="1"/>
  <c r="Y24" i="5"/>
  <c r="Y7" i="6"/>
  <c r="Y25" i="5"/>
  <c r="Y26" i="5" s="1"/>
  <c r="O23" i="6"/>
  <c r="P23" i="6" s="1"/>
  <c r="Q23" i="6" s="1"/>
  <c r="R23" i="6" s="1"/>
  <c r="S23" i="6" s="1"/>
  <c r="V67" i="8"/>
  <c r="V19" i="6"/>
  <c r="AA24" i="5"/>
  <c r="T70" i="8"/>
  <c r="T22" i="6"/>
  <c r="T7" i="7"/>
  <c r="AA7" i="6"/>
  <c r="U70" i="8"/>
  <c r="U22" i="6"/>
  <c r="U72" i="8" s="1"/>
  <c r="U7" i="7"/>
  <c r="U9" i="7" s="1"/>
  <c r="Y84" i="8"/>
  <c r="AA82" i="8"/>
  <c r="D21" i="8" s="1"/>
  <c r="W26" i="5"/>
  <c r="U90" i="8"/>
  <c r="X66" i="8" l="1"/>
  <c r="X11" i="6"/>
  <c r="U92" i="8"/>
  <c r="AA25" i="5"/>
  <c r="V70" i="8"/>
  <c r="V7" i="7"/>
  <c r="V9" i="7" s="1"/>
  <c r="V22" i="6"/>
  <c r="V72" i="8" s="1"/>
  <c r="T72" i="8"/>
  <c r="Y85" i="8"/>
  <c r="AA85" i="8" s="1"/>
  <c r="AA84" i="8"/>
  <c r="Y45" i="8"/>
  <c r="AA45" i="8" s="1"/>
  <c r="AA44" i="8"/>
  <c r="T9" i="7"/>
  <c r="T23" i="6"/>
  <c r="V20" i="6"/>
  <c r="W67" i="8"/>
  <c r="W19" i="6"/>
  <c r="Y65" i="8"/>
  <c r="AA65" i="8" s="1"/>
  <c r="Y8" i="6"/>
  <c r="AA8" i="6" s="1"/>
  <c r="C19" i="9" l="1"/>
  <c r="Z56" i="9" s="1"/>
  <c r="AA26" i="5"/>
  <c r="Y46" i="8"/>
  <c r="W70" i="8"/>
  <c r="W7" i="7"/>
  <c r="W9" i="7" s="1"/>
  <c r="W22" i="6"/>
  <c r="W72" i="8" s="1"/>
  <c r="Y9" i="6"/>
  <c r="Y86" i="8"/>
  <c r="W20" i="6"/>
  <c r="U23" i="6"/>
  <c r="V23" i="6" s="1"/>
  <c r="X67" i="8"/>
  <c r="X19" i="6"/>
  <c r="X70" i="8" l="1"/>
  <c r="X22" i="6"/>
  <c r="X7" i="7"/>
  <c r="X9" i="7" s="1"/>
  <c r="W23" i="6"/>
  <c r="X23" i="6" s="1"/>
  <c r="X20" i="6"/>
  <c r="Y87" i="8"/>
  <c r="AA86" i="8"/>
  <c r="Y47" i="8"/>
  <c r="AA46" i="8"/>
  <c r="Y66" i="8"/>
  <c r="AA66" i="8" s="1"/>
  <c r="Y11" i="6"/>
  <c r="AA9" i="6"/>
  <c r="Y90" i="8" l="1"/>
  <c r="AA87" i="8"/>
  <c r="Y67" i="8"/>
  <c r="AA67" i="8" s="1"/>
  <c r="Y19" i="6"/>
  <c r="AA11" i="6"/>
  <c r="Y20" i="6"/>
  <c r="X72" i="8"/>
  <c r="Y50" i="8"/>
  <c r="AA47" i="8"/>
  <c r="Y52" i="8" l="1"/>
  <c r="AA52" i="8" s="1"/>
  <c r="B24" i="8" s="1"/>
  <c r="AA50" i="8"/>
  <c r="B23" i="8" s="1"/>
  <c r="B25" i="8" s="1"/>
  <c r="AA20" i="6"/>
  <c r="B31" i="6"/>
  <c r="B24" i="7"/>
  <c r="B28" i="6"/>
  <c r="B29" i="9"/>
  <c r="B26" i="6" a="1"/>
  <c r="B26" i="6" s="1"/>
  <c r="Y7" i="7"/>
  <c r="Y70" i="8"/>
  <c r="AA70" i="8" s="1"/>
  <c r="Y22" i="6"/>
  <c r="B26" i="7"/>
  <c r="B27" i="7" s="1"/>
  <c r="AA19" i="6"/>
  <c r="Y92" i="8"/>
  <c r="AA92" i="8" s="1"/>
  <c r="D24" i="8" s="1"/>
  <c r="AA90" i="8"/>
  <c r="D23" i="8" s="1"/>
  <c r="D25" i="8" s="1"/>
  <c r="Y9" i="7" l="1"/>
  <c r="AA9" i="7" s="1"/>
  <c r="AA7" i="7"/>
  <c r="C20" i="9"/>
  <c r="Z57" i="9" s="1"/>
  <c r="B12" i="7"/>
  <c r="B15" i="7" s="1"/>
  <c r="B17" i="7" s="1"/>
  <c r="B21" i="7" s="1"/>
  <c r="B30" i="6"/>
  <c r="C23" i="8"/>
  <c r="B27" i="8"/>
  <c r="D26" i="8"/>
  <c r="D27" i="8" s="1"/>
  <c r="Y72" i="8"/>
  <c r="AA72" i="8" s="1"/>
  <c r="Y23" i="6"/>
  <c r="AA22" i="6"/>
  <c r="B20" i="7" s="1"/>
  <c r="B26" i="8"/>
  <c r="B22" i="9" l="1"/>
  <c r="AD32" i="7"/>
  <c r="C25" i="8"/>
  <c r="B21" i="9"/>
  <c r="AC32" i="7"/>
  <c r="C24" i="8"/>
  <c r="B22" i="7"/>
  <c r="I16" i="9"/>
  <c r="AH5" i="8"/>
  <c r="G16" i="9"/>
  <c r="AF5" i="8"/>
  <c r="AA23" i="6"/>
  <c r="B25" i="7"/>
  <c r="B27" i="6" a="1"/>
  <c r="B27" i="6" s="1"/>
  <c r="B30" i="9"/>
  <c r="C49" i="9" l="1"/>
  <c r="D49" i="9" s="1"/>
  <c r="B23" i="9"/>
  <c r="B101" i="1" s="1"/>
  <c r="B37" i="9" s="1"/>
  <c r="J10" i="9"/>
  <c r="C26" i="8"/>
  <c r="B23" i="7"/>
  <c r="B31" i="9" l="1"/>
  <c r="C27" i="8"/>
  <c r="H16" i="9"/>
  <c r="AG5" i="8"/>
  <c r="B100" i="1"/>
  <c r="B36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B89" authorId="0" shapeId="0" xr:uid="{00000000-0006-0000-0000-000001000000}">
      <text>
        <r>
          <rPr>
            <sz val="10"/>
            <rFont val="Arial"/>
          </rPr>
          <t>Фиксированная часть не является только стоимостью токенов: включает API gateway, vector database, monitoring, storage и резерв мощности.</t>
        </r>
      </text>
    </comment>
    <comment ref="B90" authorId="0" shapeId="0" xr:uid="{00000000-0006-0000-0000-000002000000}">
      <text>
        <r>
          <rPr>
            <sz val="10"/>
            <rFont val="Arial"/>
          </rPr>
          <t>Проверено по официальному прайсу Alibaba Model Studio. Ставка 1,5 ₽/MAU содержит запас для гибридной маршрутизации Qwen/Kimi и коротких генераций. https://help.aliyun.com/en/model-studio/model-pricing</t>
        </r>
      </text>
    </comment>
  </commentList>
</comments>
</file>

<file path=xl/sharedStrings.xml><?xml version="1.0" encoding="utf-8"?>
<sst xmlns="http://schemas.openxmlformats.org/spreadsheetml/2006/main" count="662" uniqueCount="359">
  <si>
    <t>Assumptions</t>
  </si>
  <si>
    <t>Данные для графиков</t>
  </si>
  <si>
    <t>Общие допущения</t>
  </si>
  <si>
    <t>Значение</t>
  </si>
  <si>
    <t>TAM: россияне 17–25 лет</t>
  </si>
  <si>
    <t xml:space="preserve">SAM: молодые ИП + обучающиеся </t>
  </si>
  <si>
    <t>SOM первого года</t>
  </si>
  <si>
    <t>SOM первого года, пользователей</t>
  </si>
  <si>
    <t>Конверсия</t>
  </si>
  <si>
    <t>Регистрации специалистов в М1</t>
  </si>
  <si>
    <t>Мэтч</t>
  </si>
  <si>
    <t>Регистрации фаундеров / бизнеса в М1</t>
  </si>
  <si>
    <t>Мэтч → чат</t>
  </si>
  <si>
    <t>Рост новых регистраций в месяц — Год 1</t>
  </si>
  <si>
    <t>Чат → команда</t>
  </si>
  <si>
    <t>Рост регистраций, Год 2</t>
  </si>
  <si>
    <t>Команда → MVP</t>
  </si>
  <si>
    <t>Активация специалистов</t>
  </si>
  <si>
    <t>MVP → платёжный</t>
  </si>
  <si>
    <t>Активация фаундеров</t>
  </si>
  <si>
    <t>Месячный churn специалистов</t>
  </si>
  <si>
    <t>Месячный churn фаундеров</t>
  </si>
  <si>
    <t>Действий специалиста в месяц</t>
  </si>
  <si>
    <t>Приглашений на один проект в месяц</t>
  </si>
  <si>
    <t>Match rate</t>
  </si>
  <si>
    <t>Команда → запуск / MVP</t>
  </si>
  <si>
    <t>Лаг от команды до MVP</t>
  </si>
  <si>
    <t>Сценарные допущения</t>
  </si>
  <si>
    <t>Показатель</t>
  </si>
  <si>
    <t>Пессимистичный</t>
  </si>
  <si>
    <t>Базовый</t>
  </si>
  <si>
    <t>Оптимистичный</t>
  </si>
  <si>
    <t>RKO revenue multiplier</t>
  </si>
  <si>
    <t>Payments revenue multiplier</t>
  </si>
  <si>
    <t>Team cost multiplier</t>
  </si>
  <si>
    <t>Marketing cost multiplier</t>
  </si>
  <si>
    <t>Infrastructure cost multiplier</t>
  </si>
  <si>
    <t>CAPEX multiplier</t>
  </si>
  <si>
    <t>Terminal growth rate</t>
  </si>
  <si>
    <t>AI Infrastructure Costs</t>
  </si>
  <si>
    <t>Параметр</t>
  </si>
  <si>
    <t>AI fixed monthly cost</t>
  </si>
  <si>
    <t>AI variable cost per MAU</t>
  </si>
  <si>
    <t>AI development cost</t>
  </si>
  <si>
    <t>AI cost growth</t>
  </si>
  <si>
    <t>Revenue chain control</t>
  </si>
  <si>
    <t>Model integrity check; expected 0</t>
  </si>
  <si>
    <t>OPEX chain control</t>
  </si>
  <si>
    <t>AI cost chain control</t>
  </si>
  <si>
    <t>Scenario chain control</t>
  </si>
  <si>
    <t>Summary chain control</t>
  </si>
  <si>
    <t>Operating Model</t>
  </si>
  <si>
    <t>М1</t>
  </si>
  <si>
    <t>М2</t>
  </si>
  <si>
    <t>М3</t>
  </si>
  <si>
    <t>М4</t>
  </si>
  <si>
    <t>М5</t>
  </si>
  <si>
    <t>М6</t>
  </si>
  <si>
    <t>М7</t>
  </si>
  <si>
    <t>М8</t>
  </si>
  <si>
    <t>М9</t>
  </si>
  <si>
    <t>М10</t>
  </si>
  <si>
    <t>М11</t>
  </si>
  <si>
    <t>М12</t>
  </si>
  <si>
    <t>М13</t>
  </si>
  <si>
    <t>М14</t>
  </si>
  <si>
    <t>М15</t>
  </si>
  <si>
    <t>М16</t>
  </si>
  <si>
    <t>М17</t>
  </si>
  <si>
    <t>М18</t>
  </si>
  <si>
    <t>М19</t>
  </si>
  <si>
    <t>М20</t>
  </si>
  <si>
    <t>М21</t>
  </si>
  <si>
    <t>М22</t>
  </si>
  <si>
    <t>М23</t>
  </si>
  <si>
    <t>М24</t>
  </si>
  <si>
    <t>Год 1</t>
  </si>
  <si>
    <t>Год 2</t>
  </si>
  <si>
    <t>1. Acquisition</t>
  </si>
  <si>
    <t>Новые регистрации специалистов</t>
  </si>
  <si>
    <t>Новые регистрации фаундеров / бизнеса</t>
  </si>
  <si>
    <t>Всего новых регистраций</t>
  </si>
  <si>
    <t>Накопленные регистрации специалистов</t>
  </si>
  <si>
    <t>Накопленные регистрации фаундеров</t>
  </si>
  <si>
    <t>2. Activation and Active User Base</t>
  </si>
  <si>
    <t>Новые активированные специалисты</t>
  </si>
  <si>
    <t>Новые активированные фаундеры</t>
  </si>
  <si>
    <t>MAU специалистов</t>
  </si>
  <si>
    <t>MAU фаундеров</t>
  </si>
  <si>
    <t>Всего MAU</t>
  </si>
  <si>
    <t>3. Marketplace Activity</t>
  </si>
  <si>
    <t>Действия специалистов</t>
  </si>
  <si>
    <t>Приглашения фаундеров</t>
  </si>
  <si>
    <t>Доступные взаимодействия (min)</t>
  </si>
  <si>
    <t>Мэтчи</t>
  </si>
  <si>
    <t>Начатые чаты</t>
  </si>
  <si>
    <t>Созданные команды</t>
  </si>
  <si>
    <t>4. MVP Funnel</t>
  </si>
  <si>
    <t>Команды с учетом лага</t>
  </si>
  <si>
    <t>Новые MVP / запуски</t>
  </si>
  <si>
    <t>Накопленные MVP</t>
  </si>
  <si>
    <t>5. Banking Funnel — MVP и платёжные клиенты</t>
  </si>
  <si>
    <t>Новые MVP / счета Альфы</t>
  </si>
  <si>
    <t>Новые платёжные клиенты из MVP</t>
  </si>
  <si>
    <t>Активные счета из MVP</t>
  </si>
  <si>
    <t>Активные платежные клиенты из MVP</t>
  </si>
  <si>
    <t>6. Banking Funnel — Existing Business</t>
  </si>
  <si>
    <t>Активированные фаундеры с действующим бизнесом</t>
  </si>
  <si>
    <t>Из них не в Альфе</t>
  </si>
  <si>
    <t>Новые платежные клиенты Альфы</t>
  </si>
  <si>
    <t>Активные платежные клиенты действующего бизнеса</t>
  </si>
  <si>
    <t>Всего активных платежных клиентов</t>
  </si>
  <si>
    <t>7. Operating KPIs</t>
  </si>
  <si>
    <t>Команда → MVP / счёт Альфы</t>
  </si>
  <si>
    <t>MVP / счёт Альфы → платёжный клиент</t>
  </si>
  <si>
    <t>Платёжные клиенты / активированные фаундеры</t>
  </si>
  <si>
    <t>Banking Revenue</t>
  </si>
  <si>
    <t>Формула / логика</t>
  </si>
  <si>
    <t>Источник</t>
  </si>
  <si>
    <t>1. Revenue Drivers</t>
  </si>
  <si>
    <t>Активные счета из MVP (счёт входит в MVP)</t>
  </si>
  <si>
    <t>Net-доход РКО на активный счет, ₽/мес.</t>
  </si>
  <si>
    <t>Активные платежные клиенты — всего</t>
  </si>
  <si>
    <t>Net-доход платежных сервисов, ₽/мес.</t>
  </si>
  <si>
    <t>2. Monthly Banking Revenue</t>
  </si>
  <si>
    <t>Доход РКО</t>
  </si>
  <si>
    <t>Доход платежных сервисов</t>
  </si>
  <si>
    <t>Итого банковский доход</t>
  </si>
  <si>
    <t>Доля РКО в доходе</t>
  </si>
  <si>
    <t>Доля платежных сервисов в доходе</t>
  </si>
  <si>
    <t>3. Revenue KPIs</t>
  </si>
  <si>
    <t>Средний банковский доход на MAU, ₽</t>
  </si>
  <si>
    <t>Средний банковский доход на зарегистрированного фаундера, ₽</t>
  </si>
  <si>
    <t>Платежные клиенты / MAU фаундеров</t>
  </si>
  <si>
    <t>Активные счета / накопленные MVP</t>
  </si>
  <si>
    <t>Costs</t>
  </si>
  <si>
    <t>1. Cost Drivers</t>
  </si>
  <si>
    <t>Новые регистрации — всего</t>
  </si>
  <si>
    <t>Blended CAC до нормировки, ₽</t>
  </si>
  <si>
    <t>Медиаинфляция в месяц</t>
  </si>
  <si>
    <t>Переменные расходы на MAU, ₽</t>
  </si>
  <si>
    <t>2. Monthly Operating Costs</t>
  </si>
  <si>
    <t>Разовая разработка</t>
  </si>
  <si>
    <t>Команда</t>
  </si>
  <si>
    <t>Маркетинг до нормировки</t>
  </si>
  <si>
    <t>Коэффициент нормировки маркетинга к годовому target</t>
  </si>
  <si>
    <t>Маркетинг</t>
  </si>
  <si>
    <t>Базовая инфраструктура</t>
  </si>
  <si>
    <t>Переменная инфраструктура</t>
  </si>
  <si>
    <t>Итого инфраструктура</t>
  </si>
  <si>
    <t>AI fixed infrastructure</t>
  </si>
  <si>
    <t>AI variable cost (MAU-linked)</t>
  </si>
  <si>
    <t>AI infrastructure costs</t>
  </si>
  <si>
    <t>Other OPEX</t>
  </si>
  <si>
    <t>AI implementation / integration (CAPEX)</t>
  </si>
  <si>
    <t>Итого OPEX (без разработки)</t>
  </si>
  <si>
    <t>Итого денежные расходы (включая CAPEX)</t>
  </si>
  <si>
    <t>3. Cost KPIs</t>
  </si>
  <si>
    <t>Маркетинг / всего расходов</t>
  </si>
  <si>
    <t>Команда / всего расходов</t>
  </si>
  <si>
    <t>Инфраструктура / всего расходов</t>
  </si>
  <si>
    <t>AI / всего расходов</t>
  </si>
  <si>
    <t>Расходы на одного нового пользователя, ₽</t>
  </si>
  <si>
    <t>Расходы на одного MAU, ₽</t>
  </si>
  <si>
    <t>P&amp;L</t>
  </si>
  <si>
    <t>1. Banking Revenue</t>
  </si>
  <si>
    <t>Рост банковского дохода, MoM</t>
  </si>
  <si>
    <t>2. Operating Expenses</t>
  </si>
  <si>
    <t>Разработка + AI integration (капитализируется; справочно)</t>
  </si>
  <si>
    <t>Инфраструктура</t>
  </si>
  <si>
    <t>AI costs</t>
  </si>
  <si>
    <t>Итого операционные расходы</t>
  </si>
  <si>
    <t>EBITDA</t>
  </si>
  <si>
    <t>EBITDA margin</t>
  </si>
  <si>
    <t>Амортизация разработки</t>
  </si>
  <si>
    <t>EBIT</t>
  </si>
  <si>
    <t>Налог на прибыль</t>
  </si>
  <si>
    <t>Чистая прибыль</t>
  </si>
  <si>
    <t>Net margin</t>
  </si>
  <si>
    <t>4. P&amp;L KPIs</t>
  </si>
  <si>
    <t>Banking income / operating expenses</t>
  </si>
  <si>
    <t>Маркетинг / банковский доход</t>
  </si>
  <si>
    <t>Команда / банковский доход</t>
  </si>
  <si>
    <t>Break-even month (EBITDA)</t>
  </si>
  <si>
    <t>Cash Flow</t>
  </si>
  <si>
    <t>1. Operating Cash Flow</t>
  </si>
  <si>
    <t>Налог на EBIT</t>
  </si>
  <si>
    <t>NOPAT</t>
  </si>
  <si>
    <t>Амортизация</t>
  </si>
  <si>
    <t>Операционный денежный поток</t>
  </si>
  <si>
    <t>2. Investing Cash Flow</t>
  </si>
  <si>
    <t>CAPEX / разработка</t>
  </si>
  <si>
    <t>Изменение оборотного капитала</t>
  </si>
  <si>
    <t>AI implementation / integration</t>
  </si>
  <si>
    <t>Инвестиционный денежный поток</t>
  </si>
  <si>
    <t>3. Free Cash Flow</t>
  </si>
  <si>
    <t>Free Cash Flow</t>
  </si>
  <si>
    <t>Накопленный денежный поток</t>
  </si>
  <si>
    <t>Дисконт-фактор</t>
  </si>
  <si>
    <t>Дисконтированный FCF</t>
  </si>
  <si>
    <t>Накопленный дисконтированный FCF</t>
  </si>
  <si>
    <t>4. Cash Flow KPIs</t>
  </si>
  <si>
    <t>Payback month</t>
  </si>
  <si>
    <t>Discounted payback month</t>
  </si>
  <si>
    <t>Пиковая потребность в финансировании</t>
  </si>
  <si>
    <t>FCF Год 1</t>
  </si>
  <si>
    <t>FCF Год 2</t>
  </si>
  <si>
    <t>Накопленный FCF к концу М24</t>
  </si>
  <si>
    <t>DCF</t>
  </si>
  <si>
    <t>1. Forecast Free Cash Flow</t>
  </si>
  <si>
    <t>Discount factor</t>
  </si>
  <si>
    <t>PV of Free Cash Flow</t>
  </si>
  <si>
    <t>2. Terminal Value</t>
  </si>
  <si>
    <t>Discount rate</t>
  </si>
  <si>
    <t>Terminal value at end of М24</t>
  </si>
  <si>
    <t>Discount factor to end of М24</t>
  </si>
  <si>
    <t>PV of Terminal Value</t>
  </si>
  <si>
    <t>3. Valuation Summary</t>
  </si>
  <si>
    <t>PV of Forecast FCF</t>
  </si>
  <si>
    <t>Enterprise Value</t>
  </si>
  <si>
    <t>Terminal value / Enterprise Value</t>
  </si>
  <si>
    <t>Undiscounted payback month</t>
  </si>
  <si>
    <t>Monthly IRR</t>
  </si>
  <si>
    <t>Annualized IRR</t>
  </si>
  <si>
    <t>PV прогнозного FCF</t>
  </si>
  <si>
    <t>PV терминальной стоимости</t>
  </si>
  <si>
    <t>Scenarios</t>
  </si>
  <si>
    <t>1. Scenario Inputs</t>
  </si>
  <si>
    <t>Интерпретация</t>
  </si>
  <si>
    <t>RKO income sensitivity</t>
  </si>
  <si>
    <t>Payments income sensitivity</t>
  </si>
  <si>
    <t>Team efficiency / cost</t>
  </si>
  <si>
    <t>Acquisition efficiency</t>
  </si>
  <si>
    <t>Infrastructure scaling</t>
  </si>
  <si>
    <t>Development complexity</t>
  </si>
  <si>
    <t>Long-term growth</t>
  </si>
  <si>
    <t>2. Scenario Outputs</t>
  </si>
  <si>
    <t>Banking Revenue — Год 1</t>
  </si>
  <si>
    <t>Banking Revenue — Год 2</t>
  </si>
  <si>
    <t>OPEX — Год 1</t>
  </si>
  <si>
    <t>OPEX — Год 2</t>
  </si>
  <si>
    <t>EBITDA — Год 1</t>
  </si>
  <si>
    <t>EBITDA — Год 2</t>
  </si>
  <si>
    <t>FCF — Год 1</t>
  </si>
  <si>
    <t>FCF — Год 2</t>
  </si>
  <si>
    <t>PV Forecast FCF</t>
  </si>
  <si>
    <t>PV Terminal Value</t>
  </si>
  <si>
    <t>Terminal Value / EV</t>
  </si>
  <si>
    <t>3. Monthly Scenario Engine</t>
  </si>
  <si>
    <t>Downside</t>
  </si>
  <si>
    <t>Итого OPEX</t>
  </si>
  <si>
    <t>Налог</t>
  </si>
  <si>
    <t>Operating Cash Flow</t>
  </si>
  <si>
    <t>CAPEX</t>
  </si>
  <si>
    <t>PV of FCF</t>
  </si>
  <si>
    <t>Hybrid</t>
  </si>
  <si>
    <t>Upside</t>
  </si>
  <si>
    <t>Executive Summary</t>
  </si>
  <si>
    <t>MAU к М24</t>
  </si>
  <si>
    <t>MVP за 24 мес.</t>
  </si>
  <si>
    <t>Активные счета М24</t>
  </si>
  <si>
    <t>Платежные клиенты М24</t>
  </si>
  <si>
    <t>Revenue Год 1</t>
  </si>
  <si>
    <t>EBITDA Год 1</t>
  </si>
  <si>
    <t>Ключевые показатели</t>
  </si>
  <si>
    <t>Банковский доход</t>
  </si>
  <si>
    <t>OPEX</t>
  </si>
  <si>
    <t>ДДС</t>
  </si>
  <si>
    <t>Маркетинговый бюджет</t>
  </si>
  <si>
    <t>Эффективный CAC</t>
  </si>
  <si>
    <t>Расчет</t>
  </si>
  <si>
    <t>Инвестиционные выводы</t>
  </si>
  <si>
    <t>Комментарий</t>
  </si>
  <si>
    <t>EBITDA break-even</t>
  </si>
  <si>
    <t>Месяц выхода на положительную EBITDA</t>
  </si>
  <si>
    <t>Payback</t>
  </si>
  <si>
    <t>Месяц денежной окупаемости</t>
  </si>
  <si>
    <t>Discounted payback</t>
  </si>
  <si>
    <t>Окупаемость с учетом ставки дисконтирования</t>
  </si>
  <si>
    <t>Чем ниже, тем надежнее оценка</t>
  </si>
  <si>
    <t>Связь модели</t>
  </si>
  <si>
    <t>Статус</t>
  </si>
  <si>
    <t>Контроль</t>
  </si>
  <si>
    <t>Revenue chain</t>
  </si>
  <si>
    <t>P&amp;L = Banking Revenue</t>
  </si>
  <si>
    <t>OPEX chain</t>
  </si>
  <si>
    <t>P&amp;L = Costs</t>
  </si>
  <si>
    <t>Scenario chain</t>
  </si>
  <si>
    <t>Базовый EV = DCF EV</t>
  </si>
  <si>
    <t>Summary chain</t>
  </si>
  <si>
    <t>Summary EV = DCF EV</t>
  </si>
  <si>
    <t>AI chain</t>
  </si>
  <si>
    <t>P&amp;L AI = Costs AI</t>
  </si>
  <si>
    <t>Проверка эффекта замедления роста в Год 2</t>
  </si>
  <si>
    <t>6% MoM в Год 2</t>
  </si>
  <si>
    <t>2,5% MoM в Год 2</t>
  </si>
  <si>
    <t>Изменение</t>
  </si>
  <si>
    <t>Новые регистрации Год 2</t>
  </si>
  <si>
    <t>Поток новых пользователей</t>
  </si>
  <si>
    <t>Активная база</t>
  </si>
  <si>
    <t>Активные счета к М24</t>
  </si>
  <si>
    <t>Накопленная банковская база</t>
  </si>
  <si>
    <t>Платежные клиенты к М24</t>
  </si>
  <si>
    <t>Банковский доход Год 2</t>
  </si>
  <si>
    <t>Доход считается с накопленной базы</t>
  </si>
  <si>
    <t>OPEX Год 2</t>
  </si>
  <si>
    <t>OPEX выше из-за роста маркетинга и инфраструктуры</t>
  </si>
  <si>
    <t>EBITDA Год 2</t>
  </si>
  <si>
    <t>Снижение дохода сильнее роста OPEX</t>
  </si>
  <si>
    <t>DCF также пересчитан</t>
  </si>
  <si>
    <t>Рынок</t>
  </si>
  <si>
    <t>Индекс масштаба</t>
  </si>
  <si>
    <t>Доля действующего бизнеса среди фаундеров</t>
  </si>
  <si>
    <t>Доля действующего бизнеса не в Альфе</t>
  </si>
  <si>
    <t>Действующий бизнес → платежные сервисы Альфы</t>
  </si>
  <si>
    <t>Churn активных счетов</t>
  </si>
  <si>
    <t>Churn платежных клиентов</t>
  </si>
  <si>
    <t>Net-доход РКО на активный счет</t>
  </si>
  <si>
    <t>Net-доход платежных сервисов на клиента</t>
  </si>
  <si>
    <t>Разовая разработка до запуска</t>
  </si>
  <si>
    <t>Команда М1–М6</t>
  </si>
  <si>
    <t>Команда М7–М12</t>
  </si>
  <si>
    <t>Команда М13–М24</t>
  </si>
  <si>
    <t>Blended CAC</t>
  </si>
  <si>
    <t>Маркетинговый бюджет М1</t>
  </si>
  <si>
    <t>Маркетинговый бюджет Год 1 (target)</t>
  </si>
  <si>
    <t>Маркетинговый бюджет Год 2</t>
  </si>
  <si>
    <t>Доля реферального канала</t>
  </si>
  <si>
    <t>Переменные расходы на MAU</t>
  </si>
  <si>
    <t>Blended CAC override (optional)</t>
  </si>
  <si>
    <t>Допущения для расчета CAC</t>
  </si>
  <si>
    <t>Собственные каналы Альфы — доля</t>
  </si>
  <si>
    <t>Собственные каналы Альфы — стоимость контакта, ₽</t>
  </si>
  <si>
    <t>Собственные каналы Альфы — контакт → регистрация</t>
  </si>
  <si>
    <t>Вузы и партнерства — доля</t>
  </si>
  <si>
    <t>Вузы и партнерства — стоимость контакта, ₽</t>
  </si>
  <si>
    <t>Вузы и партнерства — контакт → регистрация</t>
  </si>
  <si>
    <t>Реферальная программа — доля</t>
  </si>
  <si>
    <t>Реферальная программа — reward, ₽</t>
  </si>
  <si>
    <t>Реферальная программа — валидная регистрация</t>
  </si>
  <si>
    <t>VK Ads — доля</t>
  </si>
  <si>
    <t>VK Ads — CPC, ₽</t>
  </si>
  <si>
    <t>VK Ads — click → registration</t>
  </si>
  <si>
    <t>Telegram / бизнес-каналы — доля</t>
  </si>
  <si>
    <t>Telegram / бизнес-каналы — CPC, ₽</t>
  </si>
  <si>
    <t>Telegram / бизнес-каналы — click → registration</t>
  </si>
  <si>
    <t>Яндекс / performance — доля</t>
  </si>
  <si>
    <t>Яндекс / performance — CPC, ₽</t>
  </si>
  <si>
    <t>Яндекс / performance — click → registration</t>
  </si>
  <si>
    <t>Комиссия / управление кампанией</t>
  </si>
  <si>
    <t>Невалидные регистрации / fraud</t>
  </si>
  <si>
    <t>Downside multiplier к CAC</t>
  </si>
  <si>
    <t>Upside multiplier к CAC</t>
  </si>
  <si>
    <t>Последний месяц команды — этап 1</t>
  </si>
  <si>
    <t>Последний месяц команды — этап 2</t>
  </si>
  <si>
    <t>Финансовые допущения</t>
  </si>
  <si>
    <t>Ставка дисконтирования</t>
  </si>
  <si>
    <t>Амортизация разработки, мес.</t>
  </si>
  <si>
    <t>Месяц оплаты 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</si>
</sst>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;[Red]\(#,##0\);\-"/>
    <numFmt numFmtId="165" formatCode="0.0%;[Red]\(0.0%\);\-"/>
    <numFmt numFmtId="166" formatCode="0&quot; мес.&quot;"/>
    <numFmt numFmtId="167" formatCode="#,##0&quot; ₽&quot;;[Red]\(#,##0&quot;) ₽&quot;;\-"/>
    <numFmt numFmtId="168" formatCode="0.0\x;[Red]\(0.0&quot;x)&quot;;\-"/>
    <numFmt numFmtId="169" formatCode="0.00\x;[Red]\(0.00&quot;x)&quot;;\-"/>
    <numFmt numFmtId="171" formatCode="0.000\x"/>
    <numFmt numFmtId="172" formatCode="0.00\x"/>
    <numFmt numFmtId="173" formatCode="0.0%"/>
    <numFmt numFmtId="174" formatCode="0.0,,&quot; млн ₽&quot;;[Red]\(0.0,,&quot;) млн ₽&quot;;\-"/>
    <numFmt numFmtId="175" formatCode="0.0&quot; млн ₽&quot;"/>
    <numFmt numFmtId="178" formatCode="#,##0.00&quot; ₽&quot;;[Red]\(#,##0.00&quot; ₽&quot;\);\-"/>
    <numFmt numFmtId="179" formatCode="0.0\x;[Red]\(0.0\x\);\-"/>
  </numFmts>
  <fonts count="40" x14ac:knownFonts="1">
    <font>
      <sz val="10"/>
      <name val="Arial"/>
    </font>
    <font>
      <sz val="10"/>
      <name val="Arial"/>
      <family val="2"/>
    </font>
    <font>
      <sz val="11"/>
      <name val="Calibri"/>
      <family val="2"/>
    </font>
    <font>
      <b/>
      <sz val="15"/>
      <color rgb="FFFFFFFF"/>
      <name val="Calibri"/>
      <family val="2"/>
    </font>
    <font>
      <i/>
      <sz val="10"/>
      <color rgb="FF555555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sz val="10"/>
      <color rgb="FF0000FF"/>
      <name val="Calibri"/>
      <family val="2"/>
    </font>
    <font>
      <i/>
      <sz val="9"/>
      <color rgb="FF666666"/>
      <name val="Calibri"/>
      <family val="2"/>
    </font>
    <font>
      <sz val="10"/>
      <color rgb="FF000000"/>
      <name val="Arial"/>
      <family val="2"/>
    </font>
    <font>
      <b/>
      <sz val="11"/>
      <color rgb="FFFFFFFF"/>
      <name val="Calibri"/>
      <family val="2"/>
    </font>
    <font>
      <b/>
      <i/>
      <sz val="9"/>
      <color rgb="FFFFFFFF"/>
      <name val="Calibri"/>
      <family val="2"/>
    </font>
    <font>
      <b/>
      <sz val="11"/>
      <color rgb="FF1D2330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i/>
      <sz val="11"/>
      <color rgb="FF404040"/>
      <name val="Calibri"/>
      <family val="2"/>
    </font>
    <font>
      <sz val="11"/>
      <color rgb="FF008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i/>
      <sz val="11"/>
      <color rgb="FF7F6000"/>
      <name val="Calibri"/>
      <family val="2"/>
    </font>
    <font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008000"/>
      <name val="Calibri"/>
      <family val="2"/>
    </font>
    <font>
      <b/>
      <sz val="9"/>
      <color rgb="FF008000"/>
      <name val="Calibri"/>
      <family val="2"/>
    </font>
    <font>
      <sz val="11"/>
      <color theme="0"/>
      <name val="Calibri"/>
      <family val="2"/>
    </font>
    <font>
      <b/>
      <sz val="10"/>
      <color theme="0"/>
      <name val="Calibri"/>
      <family val="2"/>
    </font>
    <font>
      <sz val="10"/>
      <color theme="0"/>
      <name val="Calibri"/>
      <family val="2"/>
    </font>
    <font>
      <i/>
      <sz val="10"/>
      <color rgb="FF666666"/>
      <name val="Calibri"/>
      <family val="2"/>
    </font>
    <font>
      <b/>
      <sz val="16"/>
      <color rgb="FFFFFFFF"/>
      <name val="Calibri"/>
      <family val="2"/>
    </font>
    <font>
      <b/>
      <sz val="14"/>
      <color rgb="FF008000"/>
      <name val="Calibri"/>
      <family val="2"/>
    </font>
    <font>
      <sz val="11"/>
      <color rgb="FF0000FF"/>
      <name val="Calibri"/>
      <family val="2"/>
    </font>
    <font>
      <b/>
      <sz val="10"/>
      <color rgb="FFFFFFFF"/>
      <name val="Arial"/>
      <family val="2"/>
    </font>
    <font>
      <sz val="8"/>
      <color rgb="FF666666"/>
      <name val="Arial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FF"/>
      <name val="Calibri"/>
      <family val="2"/>
    </font>
    <font>
      <sz val="10"/>
      <color rgb="FF0000FF"/>
      <name val="Calibri"/>
      <family val="2"/>
    </font>
    <font>
      <b/>
      <i/>
      <sz val="9"/>
      <color rgb="FFFFFFFF"/>
      <name val="Arial"/>
      <family val="2"/>
    </font>
    <font>
      <sz val="8"/>
      <color theme="0"/>
      <name val="Arial"/>
      <family val="2"/>
    </font>
    <font>
      <sz val="10"/>
      <color theme="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2F3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rgb="FF1D2330"/>
      </bottom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1D2330"/>
      </top>
      <bottom style="hair">
        <color rgb="FFE7E7E7"/>
      </bottom>
      <diagonal/>
    </border>
    <border>
      <left/>
      <right/>
      <top style="hair">
        <color rgb="FFE7E7E7"/>
      </top>
      <bottom style="hair">
        <color rgb="FFE7E7E7"/>
      </bottom>
      <diagonal/>
    </border>
    <border>
      <left/>
      <right/>
      <top style="hair">
        <color rgb="FFE7E7E7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hair">
        <color rgb="FFE7E7E7"/>
      </bottom>
      <diagonal/>
    </border>
    <border>
      <left/>
      <right/>
      <top style="thin">
        <color rgb="FFBFBFBF"/>
      </top>
      <bottom/>
      <diagonal/>
    </border>
    <border>
      <left/>
      <right/>
      <top/>
      <bottom style="medium">
        <color rgb="FF1F4E7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A6A6A6"/>
      </bottom>
      <diagonal/>
    </border>
  </borders>
  <cellStyleXfs count="8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2" fillId="0" borderId="0"/>
    <xf numFmtId="0" fontId="2" fillId="0" borderId="0"/>
  </cellStyleXfs>
  <cellXfs count="149">
    <xf numFmtId="0" fontId="0" fillId="0" borderId="0" xfId="0"/>
    <xf numFmtId="0" fontId="10" fillId="3" borderId="0" xfId="6" applyFont="1" applyFill="1" applyAlignment="1">
      <alignment horizontal="center" vertical="center" wrapText="1"/>
    </xf>
    <xf numFmtId="0" fontId="4" fillId="0" borderId="0" xfId="6" applyFont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0" fontId="3" fillId="0" borderId="0" xfId="6" applyFont="1" applyAlignment="1">
      <alignment vertical="center" wrapText="1"/>
    </xf>
    <xf numFmtId="0" fontId="5" fillId="3" borderId="2" xfId="6" applyFont="1" applyFill="1" applyBorder="1" applyAlignment="1">
      <alignment horizontal="left" vertical="center" wrapText="1"/>
    </xf>
    <xf numFmtId="0" fontId="5" fillId="3" borderId="2" xfId="6" applyFont="1" applyFill="1" applyBorder="1" applyAlignment="1">
      <alignment horizontal="center" vertical="center" wrapText="1"/>
    </xf>
    <xf numFmtId="0" fontId="6" fillId="0" borderId="0" xfId="6" applyFont="1" applyAlignment="1">
      <alignment vertical="center" wrapText="1"/>
    </xf>
    <xf numFmtId="0" fontId="6" fillId="0" borderId="3" xfId="6" applyFont="1" applyBorder="1" applyAlignment="1">
      <alignment horizontal="left" vertical="center" wrapText="1"/>
    </xf>
    <xf numFmtId="164" fontId="7" fillId="0" borderId="3" xfId="6" applyNumberFormat="1" applyFont="1" applyBorder="1" applyAlignment="1">
      <alignment horizontal="right" vertical="center" wrapText="1"/>
    </xf>
    <xf numFmtId="0" fontId="8" fillId="0" borderId="3" xfId="6" applyFont="1" applyBorder="1" applyAlignment="1">
      <alignment horizontal="left" vertical="center" wrapText="1"/>
    </xf>
    <xf numFmtId="0" fontId="6" fillId="0" borderId="4" xfId="6" applyFont="1" applyBorder="1" applyAlignment="1">
      <alignment horizontal="left" vertical="center" wrapText="1"/>
    </xf>
    <xf numFmtId="164" fontId="7" fillId="0" borderId="4" xfId="6" applyNumberFormat="1" applyFont="1" applyBorder="1" applyAlignment="1">
      <alignment horizontal="right" vertical="center" wrapText="1"/>
    </xf>
    <xf numFmtId="0" fontId="8" fillId="0" borderId="4" xfId="6" applyFont="1" applyBorder="1" applyAlignment="1">
      <alignment horizontal="left" vertical="center" wrapText="1"/>
    </xf>
    <xf numFmtId="165" fontId="7" fillId="0" borderId="4" xfId="6" applyNumberFormat="1" applyFont="1" applyBorder="1" applyAlignment="1">
      <alignment horizontal="right" vertical="center" wrapText="1"/>
    </xf>
    <xf numFmtId="165" fontId="7" fillId="0" borderId="5" xfId="6" applyNumberFormat="1" applyFont="1" applyBorder="1" applyAlignment="1">
      <alignment horizontal="right" vertical="center" wrapText="1"/>
    </xf>
    <xf numFmtId="166" fontId="7" fillId="0" borderId="4" xfId="6" applyNumberFormat="1" applyFont="1" applyBorder="1" applyAlignment="1">
      <alignment horizontal="right" vertical="center" wrapText="1"/>
    </xf>
    <xf numFmtId="165" fontId="9" fillId="0" borderId="4" xfId="6" applyNumberFormat="1" applyFont="1" applyBorder="1" applyAlignment="1">
      <alignment horizontal="right" vertical="center" wrapText="1"/>
    </xf>
    <xf numFmtId="167" fontId="7" fillId="0" borderId="4" xfId="6" applyNumberFormat="1" applyFont="1" applyBorder="1" applyAlignment="1">
      <alignment horizontal="right" vertical="center" wrapText="1"/>
    </xf>
    <xf numFmtId="0" fontId="6" fillId="0" borderId="0" xfId="6" applyFont="1" applyAlignment="1">
      <alignment horizontal="left" vertical="center" wrapText="1"/>
    </xf>
    <xf numFmtId="167" fontId="7" fillId="0" borderId="0" xfId="6" applyNumberFormat="1" applyFont="1" applyAlignment="1">
      <alignment horizontal="right" vertical="center" wrapText="1"/>
    </xf>
    <xf numFmtId="0" fontId="6" fillId="0" borderId="5" xfId="6" applyFont="1" applyBorder="1" applyAlignment="1">
      <alignment horizontal="left" vertical="center" wrapText="1"/>
    </xf>
    <xf numFmtId="167" fontId="7" fillId="0" borderId="5" xfId="6" applyNumberFormat="1" applyFont="1" applyBorder="1" applyAlignment="1">
      <alignment horizontal="right" vertical="center" wrapText="1"/>
    </xf>
    <xf numFmtId="0" fontId="8" fillId="0" borderId="5" xfId="6" applyFont="1" applyBorder="1" applyAlignment="1">
      <alignment horizontal="left" vertical="center" wrapText="1"/>
    </xf>
    <xf numFmtId="0" fontId="8" fillId="0" borderId="7" xfId="6" applyFont="1" applyBorder="1" applyAlignment="1">
      <alignment horizontal="left" vertical="center" wrapText="1"/>
    </xf>
    <xf numFmtId="0" fontId="13" fillId="0" borderId="3" xfId="6" applyFont="1" applyBorder="1" applyAlignment="1">
      <alignment horizontal="left" vertical="center" wrapText="1"/>
    </xf>
    <xf numFmtId="169" fontId="7" fillId="0" borderId="3" xfId="6" applyNumberFormat="1" applyFont="1" applyBorder="1" applyAlignment="1">
      <alignment horizontal="right" vertical="center" wrapText="1"/>
    </xf>
    <xf numFmtId="0" fontId="14" fillId="0" borderId="0" xfId="6" applyFont="1" applyAlignment="1">
      <alignment horizontal="left" vertical="center"/>
    </xf>
    <xf numFmtId="0" fontId="14" fillId="0" borderId="0" xfId="6" applyFont="1" applyAlignment="1">
      <alignment vertical="center"/>
    </xf>
    <xf numFmtId="0" fontId="14" fillId="0" borderId="0" xfId="6" applyFont="1" applyAlignment="1">
      <alignment vertical="center" wrapText="1"/>
    </xf>
    <xf numFmtId="0" fontId="6" fillId="0" borderId="0" xfId="6" applyFont="1" applyAlignment="1">
      <alignment horizontal="left" vertical="center"/>
    </xf>
    <xf numFmtId="0" fontId="6" fillId="0" borderId="0" xfId="6" applyFont="1" applyAlignment="1">
      <alignment vertical="center"/>
    </xf>
    <xf numFmtId="0" fontId="3" fillId="2" borderId="0" xfId="6" applyFont="1" applyFill="1" applyAlignment="1">
      <alignment vertical="center" wrapText="1"/>
    </xf>
    <xf numFmtId="0" fontId="15" fillId="4" borderId="0" xfId="6" applyFont="1" applyFill="1" applyAlignment="1">
      <alignment wrapText="1"/>
    </xf>
    <xf numFmtId="0" fontId="15" fillId="0" borderId="0" xfId="6" applyFont="1" applyAlignment="1">
      <alignment wrapText="1"/>
    </xf>
    <xf numFmtId="0" fontId="2" fillId="0" borderId="0" xfId="6" applyAlignment="1">
      <alignment wrapText="1"/>
    </xf>
    <xf numFmtId="0" fontId="10" fillId="3" borderId="0" xfId="6" applyFont="1" applyFill="1" applyAlignment="1">
      <alignment horizontal="left" vertical="center" wrapText="1"/>
    </xf>
    <xf numFmtId="0" fontId="10" fillId="3" borderId="0" xfId="6" applyFont="1" applyFill="1" applyAlignment="1">
      <alignment horizontal="right" vertical="center" wrapText="1"/>
    </xf>
    <xf numFmtId="0" fontId="10" fillId="0" borderId="0" xfId="6" applyFont="1" applyAlignment="1">
      <alignment horizontal="center" vertical="center" wrapText="1"/>
    </xf>
    <xf numFmtId="0" fontId="2" fillId="0" borderId="0" xfId="6" applyAlignment="1">
      <alignment horizontal="left" wrapText="1"/>
    </xf>
    <xf numFmtId="164" fontId="2" fillId="0" borderId="0" xfId="6" applyNumberFormat="1" applyAlignment="1">
      <alignment horizontal="right" wrapText="1"/>
    </xf>
    <xf numFmtId="0" fontId="10" fillId="2" borderId="0" xfId="6" applyFont="1" applyFill="1" applyAlignment="1">
      <alignment wrapText="1"/>
    </xf>
    <xf numFmtId="0" fontId="10" fillId="0" borderId="0" xfId="6" applyFont="1" applyAlignment="1">
      <alignment wrapText="1"/>
    </xf>
    <xf numFmtId="164" fontId="16" fillId="0" borderId="0" xfId="6" applyNumberFormat="1" applyFont="1" applyAlignment="1">
      <alignment horizontal="right" wrapText="1"/>
    </xf>
    <xf numFmtId="0" fontId="17" fillId="5" borderId="8" xfId="6" applyFont="1" applyFill="1" applyBorder="1" applyAlignment="1">
      <alignment horizontal="left" wrapText="1"/>
    </xf>
    <xf numFmtId="164" fontId="17" fillId="5" borderId="8" xfId="6" applyNumberFormat="1" applyFont="1" applyFill="1" applyBorder="1" applyAlignment="1">
      <alignment horizontal="right" wrapText="1"/>
    </xf>
    <xf numFmtId="0" fontId="18" fillId="6" borderId="0" xfId="6" applyFont="1" applyFill="1" applyAlignment="1">
      <alignment horizontal="left" wrapText="1"/>
    </xf>
    <xf numFmtId="165" fontId="16" fillId="6" borderId="0" xfId="6" applyNumberFormat="1" applyFont="1" applyFill="1" applyAlignment="1">
      <alignment horizontal="right" wrapText="1"/>
    </xf>
    <xf numFmtId="165" fontId="2" fillId="6" borderId="0" xfId="6" applyNumberFormat="1" applyFill="1" applyAlignment="1">
      <alignment horizontal="right" wrapText="1"/>
    </xf>
    <xf numFmtId="0" fontId="19" fillId="0" borderId="0" xfId="6" applyFont="1" applyAlignment="1">
      <alignment vertical="center" wrapText="1"/>
    </xf>
    <xf numFmtId="164" fontId="16" fillId="0" borderId="0" xfId="6" applyNumberFormat="1" applyFont="1" applyAlignment="1">
      <alignment wrapText="1"/>
    </xf>
    <xf numFmtId="167" fontId="16" fillId="0" borderId="0" xfId="6" applyNumberFormat="1" applyFont="1" applyAlignment="1">
      <alignment wrapText="1"/>
    </xf>
    <xf numFmtId="167" fontId="20" fillId="0" borderId="0" xfId="6" applyNumberFormat="1" applyFont="1" applyAlignment="1">
      <alignment wrapText="1"/>
    </xf>
    <xf numFmtId="0" fontId="17" fillId="5" borderId="8" xfId="6" applyFont="1" applyFill="1" applyBorder="1" applyAlignment="1">
      <alignment wrapText="1"/>
    </xf>
    <xf numFmtId="167" fontId="17" fillId="5" borderId="8" xfId="6" applyNumberFormat="1" applyFont="1" applyFill="1" applyBorder="1" applyAlignment="1">
      <alignment wrapText="1"/>
    </xf>
    <xf numFmtId="165" fontId="20" fillId="0" borderId="0" xfId="6" applyNumberFormat="1" applyFont="1" applyAlignment="1">
      <alignment wrapText="1"/>
    </xf>
    <xf numFmtId="0" fontId="20" fillId="0" borderId="0" xfId="6" applyFont="1" applyAlignment="1">
      <alignment wrapText="1"/>
    </xf>
    <xf numFmtId="0" fontId="18" fillId="6" borderId="0" xfId="6" applyFont="1" applyFill="1" applyAlignment="1">
      <alignment wrapText="1"/>
    </xf>
    <xf numFmtId="167" fontId="20" fillId="6" borderId="0" xfId="6" applyNumberFormat="1" applyFont="1" applyFill="1" applyAlignment="1">
      <alignment wrapText="1"/>
    </xf>
    <xf numFmtId="165" fontId="20" fillId="6" borderId="0" xfId="6" applyNumberFormat="1" applyFont="1" applyFill="1" applyAlignment="1">
      <alignment wrapText="1"/>
    </xf>
    <xf numFmtId="0" fontId="19" fillId="0" borderId="0" xfId="6" applyFont="1" applyAlignment="1">
      <alignment wrapText="1"/>
    </xf>
    <xf numFmtId="165" fontId="16" fillId="0" borderId="0" xfId="6" applyNumberFormat="1" applyFont="1" applyAlignment="1">
      <alignment wrapText="1"/>
    </xf>
    <xf numFmtId="171" fontId="20" fillId="0" borderId="0" xfId="6" applyNumberFormat="1" applyFont="1" applyAlignment="1">
      <alignment wrapText="1"/>
    </xf>
    <xf numFmtId="0" fontId="17" fillId="6" borderId="8" xfId="6" applyFont="1" applyFill="1" applyBorder="1" applyAlignment="1">
      <alignment wrapText="1"/>
    </xf>
    <xf numFmtId="167" fontId="17" fillId="6" borderId="8" xfId="6" applyNumberFormat="1" applyFont="1" applyFill="1" applyBorder="1" applyAlignment="1">
      <alignment wrapText="1"/>
    </xf>
    <xf numFmtId="0" fontId="17" fillId="5" borderId="0" xfId="6" applyFont="1" applyFill="1" applyAlignment="1">
      <alignment wrapText="1"/>
    </xf>
    <xf numFmtId="167" fontId="21" fillId="5" borderId="0" xfId="6" applyNumberFormat="1" applyFont="1" applyFill="1" applyAlignment="1">
      <alignment wrapText="1"/>
    </xf>
    <xf numFmtId="167" fontId="17" fillId="5" borderId="0" xfId="6" applyNumberFormat="1" applyFont="1" applyFill="1" applyAlignment="1">
      <alignment wrapText="1"/>
    </xf>
    <xf numFmtId="165" fontId="2" fillId="6" borderId="0" xfId="6" applyNumberFormat="1" applyFill="1" applyAlignment="1">
      <alignment wrapText="1"/>
    </xf>
    <xf numFmtId="167" fontId="22" fillId="5" borderId="8" xfId="6" applyNumberFormat="1" applyFont="1" applyFill="1" applyBorder="1" applyAlignment="1">
      <alignment wrapText="1"/>
    </xf>
    <xf numFmtId="165" fontId="2" fillId="0" borderId="0" xfId="6" applyNumberFormat="1" applyAlignment="1">
      <alignment wrapText="1"/>
    </xf>
    <xf numFmtId="167" fontId="22" fillId="6" borderId="8" xfId="6" applyNumberFormat="1" applyFont="1" applyFill="1" applyBorder="1" applyAlignment="1">
      <alignment wrapText="1"/>
    </xf>
    <xf numFmtId="167" fontId="2" fillId="0" borderId="0" xfId="6" applyNumberFormat="1" applyAlignment="1">
      <alignment wrapText="1"/>
    </xf>
    <xf numFmtId="168" fontId="2" fillId="0" borderId="0" xfId="6" applyNumberFormat="1" applyAlignment="1">
      <alignment wrapText="1"/>
    </xf>
    <xf numFmtId="1" fontId="2" fillId="0" borderId="0" xfId="6" applyNumberFormat="1" applyAlignment="1">
      <alignment wrapText="1"/>
    </xf>
    <xf numFmtId="167" fontId="21" fillId="5" borderId="8" xfId="6" applyNumberFormat="1" applyFont="1" applyFill="1" applyBorder="1" applyAlignment="1">
      <alignment wrapText="1"/>
    </xf>
    <xf numFmtId="167" fontId="23" fillId="5" borderId="8" xfId="6" applyNumberFormat="1" applyFont="1" applyFill="1" applyBorder="1" applyAlignment="1">
      <alignment wrapText="1"/>
    </xf>
    <xf numFmtId="171" fontId="16" fillId="0" borderId="0" xfId="6" applyNumberFormat="1" applyFont="1" applyAlignment="1">
      <alignment wrapText="1"/>
    </xf>
    <xf numFmtId="171" fontId="2" fillId="0" borderId="0" xfId="6" applyNumberFormat="1" applyAlignment="1">
      <alignment wrapText="1"/>
    </xf>
    <xf numFmtId="167" fontId="21" fillId="6" borderId="8" xfId="6" applyNumberFormat="1" applyFont="1" applyFill="1" applyBorder="1" applyAlignment="1">
      <alignment wrapText="1"/>
    </xf>
    <xf numFmtId="1" fontId="16" fillId="0" borderId="0" xfId="6" applyNumberFormat="1" applyFont="1" applyAlignment="1">
      <alignment wrapText="1"/>
    </xf>
    <xf numFmtId="0" fontId="24" fillId="0" borderId="0" xfId="6" applyFont="1"/>
    <xf numFmtId="0" fontId="25" fillId="0" borderId="0" xfId="6" applyFont="1" applyAlignment="1">
      <alignment wrapText="1"/>
    </xf>
    <xf numFmtId="0" fontId="25" fillId="0" borderId="0" xfId="6" applyFont="1"/>
    <xf numFmtId="0" fontId="26" fillId="0" borderId="0" xfId="6" applyFont="1" applyAlignment="1">
      <alignment wrapText="1"/>
    </xf>
    <xf numFmtId="167" fontId="26" fillId="0" borderId="0" xfId="6" applyNumberFormat="1" applyFont="1" applyAlignment="1">
      <alignment wrapText="1"/>
    </xf>
    <xf numFmtId="167" fontId="26" fillId="0" borderId="0" xfId="6" applyNumberFormat="1" applyFont="1"/>
    <xf numFmtId="0" fontId="24" fillId="0" borderId="0" xfId="6" applyFont="1" applyAlignment="1">
      <alignment wrapText="1"/>
    </xf>
    <xf numFmtId="0" fontId="20" fillId="0" borderId="0" xfId="6" applyFont="1"/>
    <xf numFmtId="0" fontId="17" fillId="0" borderId="0" xfId="6" applyFont="1" applyAlignment="1">
      <alignment wrapText="1"/>
    </xf>
    <xf numFmtId="0" fontId="20" fillId="0" borderId="6" xfId="6" applyFont="1" applyBorder="1" applyAlignment="1">
      <alignment horizontal="left" vertical="center" wrapText="1"/>
    </xf>
    <xf numFmtId="172" fontId="16" fillId="0" borderId="6" xfId="6" applyNumberFormat="1" applyFont="1" applyBorder="1" applyAlignment="1">
      <alignment horizontal="right" vertical="center" wrapText="1"/>
    </xf>
    <xf numFmtId="0" fontId="27" fillId="0" borderId="6" xfId="6" applyFont="1" applyBorder="1" applyAlignment="1">
      <alignment horizontal="left" vertical="center" wrapText="1"/>
    </xf>
    <xf numFmtId="173" fontId="16" fillId="0" borderId="6" xfId="6" applyNumberFormat="1" applyFont="1" applyBorder="1" applyAlignment="1">
      <alignment horizontal="right" vertical="center" wrapText="1"/>
    </xf>
    <xf numFmtId="164" fontId="20" fillId="0" borderId="6" xfId="6" applyNumberFormat="1" applyFont="1" applyBorder="1" applyAlignment="1">
      <alignment horizontal="right" vertical="center" wrapText="1"/>
    </xf>
    <xf numFmtId="0" fontId="17" fillId="5" borderId="9" xfId="6" applyFont="1" applyFill="1" applyBorder="1" applyAlignment="1">
      <alignment horizontal="left" vertical="center" wrapText="1"/>
    </xf>
    <xf numFmtId="164" fontId="17" fillId="5" borderId="9" xfId="6" applyNumberFormat="1" applyFont="1" applyFill="1" applyBorder="1" applyAlignment="1">
      <alignment horizontal="right" vertical="center" wrapText="1"/>
    </xf>
    <xf numFmtId="173" fontId="20" fillId="0" borderId="6" xfId="6" applyNumberFormat="1" applyFont="1" applyBorder="1" applyAlignment="1">
      <alignment horizontal="right" vertical="center" wrapText="1"/>
    </xf>
    <xf numFmtId="0" fontId="17" fillId="0" borderId="0" xfId="6" applyFont="1" applyAlignment="1">
      <alignment horizontal="center"/>
    </xf>
    <xf numFmtId="171" fontId="20" fillId="0" borderId="6" xfId="6" applyNumberFormat="1" applyFont="1" applyBorder="1" applyAlignment="1">
      <alignment horizontal="right" vertical="center" wrapText="1"/>
    </xf>
    <xf numFmtId="167" fontId="20" fillId="0" borderId="0" xfId="6" applyNumberFormat="1" applyFont="1"/>
    <xf numFmtId="0" fontId="28" fillId="2" borderId="0" xfId="6" applyFont="1" applyFill="1" applyAlignment="1">
      <alignment vertical="center" wrapText="1"/>
    </xf>
    <xf numFmtId="0" fontId="28" fillId="0" borderId="0" xfId="6" applyFont="1" applyAlignment="1">
      <alignment vertical="center" wrapText="1"/>
    </xf>
    <xf numFmtId="0" fontId="10" fillId="3" borderId="0" xfId="6" applyFont="1" applyFill="1" applyAlignment="1">
      <alignment wrapText="1"/>
    </xf>
    <xf numFmtId="0" fontId="18" fillId="5" borderId="8" xfId="6" applyFont="1" applyFill="1" applyBorder="1" applyAlignment="1">
      <alignment wrapText="1"/>
    </xf>
    <xf numFmtId="0" fontId="22" fillId="5" borderId="0" xfId="6" applyFont="1" applyFill="1" applyAlignment="1">
      <alignment horizontal="center" wrapText="1"/>
    </xf>
    <xf numFmtId="0" fontId="10" fillId="3" borderId="0" xfId="6" applyFont="1" applyFill="1" applyAlignment="1">
      <alignment horizontal="center" wrapText="1"/>
    </xf>
    <xf numFmtId="164" fontId="30" fillId="7" borderId="0" xfId="6" applyNumberFormat="1" applyFont="1" applyFill="1" applyAlignment="1">
      <alignment wrapText="1"/>
    </xf>
    <xf numFmtId="164" fontId="16" fillId="5" borderId="0" xfId="6" applyNumberFormat="1" applyFont="1" applyFill="1" applyAlignment="1">
      <alignment wrapText="1"/>
    </xf>
    <xf numFmtId="167" fontId="30" fillId="7" borderId="0" xfId="6" applyNumberFormat="1" applyFont="1" applyFill="1" applyAlignment="1">
      <alignment wrapText="1"/>
    </xf>
    <xf numFmtId="167" fontId="16" fillId="5" borderId="0" xfId="6" applyNumberFormat="1" applyFont="1" applyFill="1" applyAlignment="1">
      <alignment wrapText="1"/>
    </xf>
    <xf numFmtId="0" fontId="26" fillId="0" borderId="0" xfId="6" applyFont="1"/>
    <xf numFmtId="175" fontId="26" fillId="0" borderId="0" xfId="6" applyNumberFormat="1" applyFont="1"/>
    <xf numFmtId="0" fontId="32" fillId="8" borderId="11" xfId="0" applyFont="1" applyFill="1" applyBorder="1"/>
    <xf numFmtId="0" fontId="34" fillId="9" borderId="4" xfId="0" applyFont="1" applyFill="1" applyBorder="1" applyAlignment="1">
      <alignment horizontal="left" vertical="center" wrapText="1"/>
    </xf>
    <xf numFmtId="0" fontId="33" fillId="9" borderId="7" xfId="0" applyFont="1" applyFill="1" applyBorder="1" applyAlignment="1">
      <alignment horizontal="left" vertical="center" wrapText="1"/>
    </xf>
    <xf numFmtId="0" fontId="34" fillId="9" borderId="3" xfId="0" applyFont="1" applyFill="1" applyBorder="1" applyAlignment="1">
      <alignment horizontal="left" vertical="center" wrapText="1"/>
    </xf>
    <xf numFmtId="165" fontId="36" fillId="9" borderId="4" xfId="0" applyNumberFormat="1" applyFont="1" applyFill="1" applyBorder="1" applyAlignment="1">
      <alignment horizontal="right" vertical="center" wrapText="1"/>
    </xf>
    <xf numFmtId="164" fontId="36" fillId="9" borderId="4" xfId="0" applyNumberFormat="1" applyFont="1" applyFill="1" applyBorder="1" applyAlignment="1">
      <alignment horizontal="right" vertical="center" wrapText="1"/>
    </xf>
    <xf numFmtId="0" fontId="10" fillId="10" borderId="0" xfId="0" applyFont="1" applyFill="1" applyAlignment="1">
      <alignment horizontal="left" vertical="center" wrapText="1"/>
    </xf>
    <xf numFmtId="0" fontId="13" fillId="11" borderId="12" xfId="0" applyFont="1" applyFill="1" applyBorder="1" applyAlignment="1">
      <alignment horizontal="left" vertical="center" wrapText="1"/>
    </xf>
    <xf numFmtId="0" fontId="13" fillId="11" borderId="12" xfId="0" applyFont="1" applyFill="1" applyBorder="1" applyAlignment="1">
      <alignment horizontal="center" vertical="center" wrapText="1"/>
    </xf>
    <xf numFmtId="165" fontId="35" fillId="9" borderId="7" xfId="0" applyNumberFormat="1" applyFont="1" applyFill="1" applyBorder="1" applyAlignment="1">
      <alignment horizontal="right" vertical="center" wrapText="1"/>
    </xf>
    <xf numFmtId="178" fontId="36" fillId="9" borderId="4" xfId="0" applyNumberFormat="1" applyFont="1" applyFill="1" applyBorder="1" applyAlignment="1">
      <alignment horizontal="right" vertical="center" wrapText="1"/>
    </xf>
    <xf numFmtId="179" fontId="36" fillId="9" borderId="4" xfId="0" applyNumberFormat="1" applyFont="1" applyFill="1" applyBorder="1" applyAlignment="1">
      <alignment horizontal="right" vertical="center" wrapText="1"/>
    </xf>
    <xf numFmtId="179" fontId="36" fillId="9" borderId="3" xfId="0" applyNumberFormat="1" applyFont="1" applyFill="1" applyBorder="1" applyAlignment="1">
      <alignment horizontal="right" vertical="center" wrapText="1"/>
    </xf>
    <xf numFmtId="0" fontId="4" fillId="0" borderId="0" xfId="6" applyFont="1" applyAlignment="1">
      <alignment vertical="center" wrapText="1"/>
    </xf>
    <xf numFmtId="0" fontId="31" fillId="10" borderId="6" xfId="0" applyFont="1" applyFill="1" applyBorder="1" applyAlignment="1">
      <alignment horizontal="left" vertical="center" wrapText="1"/>
    </xf>
    <xf numFmtId="167" fontId="31" fillId="10" borderId="6" xfId="0" applyNumberFormat="1" applyFont="1" applyFill="1" applyBorder="1" applyAlignment="1">
      <alignment horizontal="right" vertical="center" wrapText="1"/>
    </xf>
    <xf numFmtId="0" fontId="37" fillId="10" borderId="6" xfId="0" applyFont="1" applyFill="1" applyBorder="1" applyAlignment="1">
      <alignment horizontal="left" vertical="center" wrapText="1"/>
    </xf>
    <xf numFmtId="0" fontId="31" fillId="10" borderId="0" xfId="0" applyFont="1" applyFill="1" applyAlignment="1">
      <alignment wrapText="1"/>
    </xf>
    <xf numFmtId="0" fontId="10" fillId="2" borderId="0" xfId="6" applyFont="1" applyFill="1" applyAlignment="1">
      <alignment horizontal="left" vertical="center" wrapText="1"/>
    </xf>
    <xf numFmtId="0" fontId="3" fillId="2" borderId="0" xfId="6" applyFont="1" applyFill="1" applyAlignment="1">
      <alignment horizontal="left" vertical="center" wrapText="1"/>
    </xf>
    <xf numFmtId="0" fontId="10" fillId="3" borderId="0" xfId="6" applyFont="1" applyFill="1" applyAlignment="1">
      <alignment horizontal="center" vertical="center" wrapText="1"/>
    </xf>
    <xf numFmtId="174" fontId="29" fillId="5" borderId="10" xfId="6" applyNumberFormat="1" applyFont="1" applyFill="1" applyBorder="1" applyAlignment="1">
      <alignment horizontal="center" vertical="center" wrapText="1"/>
    </xf>
    <xf numFmtId="164" fontId="29" fillId="5" borderId="10" xfId="6" applyNumberFormat="1" applyFont="1" applyFill="1" applyBorder="1" applyAlignment="1">
      <alignment horizontal="center" vertical="center" wrapText="1"/>
    </xf>
    <xf numFmtId="0" fontId="11" fillId="12" borderId="0" xfId="6" applyFont="1" applyFill="1" applyAlignment="1">
      <alignment horizontal="left" vertical="center" wrapText="1"/>
    </xf>
    <xf numFmtId="0" fontId="5" fillId="12" borderId="0" xfId="0" applyFont="1" applyFill="1" applyAlignment="1">
      <alignment vertical="center" wrapText="1"/>
    </xf>
    <xf numFmtId="0" fontId="12" fillId="12" borderId="0" xfId="6" applyFont="1" applyFill="1" applyAlignment="1">
      <alignment vertical="center" wrapText="1"/>
    </xf>
    <xf numFmtId="0" fontId="6" fillId="12" borderId="0" xfId="6" applyFont="1" applyFill="1" applyAlignment="1">
      <alignment vertical="center" wrapText="1"/>
    </xf>
    <xf numFmtId="0" fontId="10" fillId="12" borderId="0" xfId="0" applyFont="1" applyFill="1" applyAlignment="1">
      <alignment vertical="center" wrapText="1"/>
    </xf>
    <xf numFmtId="0" fontId="0" fillId="12" borderId="0" xfId="0" applyFill="1" applyBorder="1"/>
    <xf numFmtId="0" fontId="10" fillId="12" borderId="0" xfId="6" applyFont="1" applyFill="1" applyBorder="1"/>
    <xf numFmtId="0" fontId="5" fillId="12" borderId="0" xfId="6" applyFont="1" applyFill="1" applyBorder="1" applyAlignment="1">
      <alignment horizontal="center" vertical="center" wrapText="1"/>
    </xf>
    <xf numFmtId="0" fontId="8" fillId="12" borderId="0" xfId="6" applyFont="1" applyFill="1" applyBorder="1" applyAlignment="1">
      <alignment horizontal="left" vertical="center" wrapText="1"/>
    </xf>
    <xf numFmtId="167" fontId="7" fillId="12" borderId="0" xfId="6" applyNumberFormat="1" applyFont="1" applyFill="1" applyBorder="1" applyAlignment="1">
      <alignment horizontal="right" vertical="center" wrapText="1"/>
    </xf>
    <xf numFmtId="0" fontId="0" fillId="0" borderId="0" xfId="0" applyBorder="1"/>
    <xf numFmtId="0" fontId="38" fillId="12" borderId="0" xfId="0" applyFont="1" applyFill="1" applyBorder="1"/>
    <xf numFmtId="0" fontId="39" fillId="12" borderId="0" xfId="0" applyFont="1" applyFill="1" applyBorder="1"/>
  </cellXfs>
  <cellStyles count="8">
    <cellStyle name="Comma" xfId="1" xr:uid="{00000000-0005-0000-0000-000000000000}"/>
    <cellStyle name="Comma [0]" xfId="2" xr:uid="{00000000-0005-0000-0000-000001000000}"/>
    <cellStyle name="Currency" xfId="3" xr:uid="{00000000-0005-0000-0000-000002000000}"/>
    <cellStyle name="Currency [0]" xfId="4" xr:uid="{00000000-0005-0000-0000-000003000000}"/>
    <cellStyle name="Normal" xfId="0" builtinId="0"/>
    <cellStyle name="Normal 2" xfId="7" xr:uid="{00000000-0005-0000-0000-000005000000}"/>
    <cellStyle name="Normal 3" xfId="6" xr:uid="{00000000-0005-0000-0000-000006000000}"/>
    <cellStyle name="Percent" xfId="5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156082"/>
      <rgbColor rgb="FFBFBFBF"/>
      <rgbColor rgb="FF7F7F7F"/>
      <rgbColor rgb="FF5B9BD5"/>
      <rgbColor rgb="FF555555"/>
      <rgbColor rgb="FFFFF2CC"/>
      <rgbColor rgb="FFD9EAF7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6100"/>
      <rgbColor rgb="FF0000FF"/>
      <rgbColor rgb="FF00CCFF"/>
      <rgbColor rgb="FFDDEBF7"/>
      <rgbColor rgb="FFE2F0D9"/>
      <rgbColor rgb="FFF2F2F2"/>
      <rgbColor rgb="FFB3B3B3"/>
      <rgbColor rgb="FFE7E7E7"/>
      <rgbColor rgb="FFD9E2F3"/>
      <rgbColor rgb="FFD9D9D9"/>
      <rgbColor rgb="FF3366FF"/>
      <rgbColor rgb="FF33CCCC"/>
      <rgbColor rgb="FF99CC00"/>
      <rgbColor rgb="FFFFCC00"/>
      <rgbColor rgb="FFFF9900"/>
      <rgbColor rgb="FFED7D31"/>
      <rgbColor rgb="FF666666"/>
      <rgbColor rgb="FFA5A5A5"/>
      <rgbColor rgb="FF17365D"/>
      <rgbColor rgb="FF70AD47"/>
      <rgbColor rgb="FF1D2330"/>
      <rgbColor rgb="FF1F1F1F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a6be52fb049a45e2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Пользователи</c:v>
          </c:tx>
          <c:spPr>
            <a:solidFill>
              <a:srgbClr val="F52B23"/>
            </a:solidFill>
          </c:spPr>
          <c:invertIfNegative val="1"/>
          <c:cat>
            <c:strRef>
              <c:f>Assumptions!$AA$3:$AA$5</c:f>
              <c:strCache>
                <c:ptCount val="3"/>
                <c:pt idx="0">
                  <c:v>TAM · 13.8 млн</c:v>
                </c:pt>
                <c:pt idx="1">
                  <c:v>SAM · 4.54 млн</c:v>
                </c:pt>
                <c:pt idx="2">
                  <c:v>SOM Год 1 · 181.7 тыс.</c:v>
                </c:pt>
              </c:strCache>
            </c:strRef>
          </c:cat>
          <c:val>
            <c:numRef>
              <c:f>Assumptions!$AB$3:$AB$5</c:f>
              <c:numCache>
                <c:formatCode>General</c:formatCode>
                <c:ptCount val="3"/>
                <c:pt idx="0">
                  <c:v>7.1398790864012369</c:v>
                </c:pt>
                <c:pt idx="1">
                  <c:v>6.6573905323885372</c:v>
                </c:pt>
                <c:pt idx="2">
                  <c:v>5.2594505237164997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762-5741-A038-3419A2B25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Конверсия</c:v>
          </c:tx>
          <c:spPr>
            <a:solidFill>
              <a:srgbClr val="F52B23"/>
            </a:solidFill>
          </c:spPr>
          <c:invertIfNegative val="1"/>
          <c:cat>
            <c:strRef>
              <c:f>Assumptions!$AA$8:$AA$12</c:f>
              <c:strCache>
                <c:ptCount val="5"/>
                <c:pt idx="0">
                  <c:v>Мэтч</c:v>
                </c:pt>
                <c:pt idx="1">
                  <c:v>Мэтч → чат</c:v>
                </c:pt>
                <c:pt idx="2">
                  <c:v>Чат → команда</c:v>
                </c:pt>
                <c:pt idx="3">
                  <c:v>Команда → MVP</c:v>
                </c:pt>
                <c:pt idx="4">
                  <c:v>MVP → платёжный</c:v>
                </c:pt>
              </c:strCache>
            </c:strRef>
          </c:cat>
          <c:val>
            <c:numRef>
              <c:f>Assumptions!$AB$8:$AB$12</c:f>
              <c:numCache>
                <c:formatCode>General</c:formatCode>
                <c:ptCount val="5"/>
                <c:pt idx="0">
                  <c:v>0.25</c:v>
                </c:pt>
                <c:pt idx="1">
                  <c:v>0.5</c:v>
                </c:pt>
                <c:pt idx="2">
                  <c:v>0.1</c:v>
                </c:pt>
                <c:pt idx="3">
                  <c:v>0.3</c:v>
                </c:pt>
                <c:pt idx="4">
                  <c:v>0.55000000000000004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0151-9142-8464-E86E865C7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Пессимистичный</c:v>
          </c:tx>
          <c:spPr>
            <a:solidFill>
              <a:srgbClr val="F52B23"/>
            </a:solidFill>
          </c:spPr>
          <c:invertIfNegative val="1"/>
          <c:cat>
            <c:strRef>
              <c:f>Assumptions!$AA$15:$AA$20</c:f>
              <c:strCache>
                <c:ptCount val="6"/>
                <c:pt idx="0">
                  <c:v>RKO revenue multiplier</c:v>
                </c:pt>
                <c:pt idx="1">
                  <c:v>Payments revenue multiplier</c:v>
                </c:pt>
                <c:pt idx="2">
                  <c:v>Team cost multiplier</c:v>
                </c:pt>
                <c:pt idx="3">
                  <c:v>Marketing cost multiplier</c:v>
                </c:pt>
                <c:pt idx="4">
                  <c:v>Infrastructure cost multiplier</c:v>
                </c:pt>
                <c:pt idx="5">
                  <c:v>CAPEX multiplier</c:v>
                </c:pt>
              </c:strCache>
            </c:strRef>
          </c:cat>
          <c:val>
            <c:numRef>
              <c:f>Assumptions!$AB$15:$AB$20</c:f>
              <c:numCache>
                <c:formatCode>General</c:formatCode>
                <c:ptCount val="6"/>
                <c:pt idx="0">
                  <c:v>0.7</c:v>
                </c:pt>
                <c:pt idx="1">
                  <c:v>0.7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1.1499999999999999</c:v>
                </c:pt>
                <c:pt idx="5">
                  <c:v>1.1499999999999999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CCF2-A34E-AC10-2DA2316E5E2B}"/>
            </c:ext>
          </c:extLst>
        </c:ser>
        <c:ser>
          <c:idx val="1"/>
          <c:order val="1"/>
          <c:tx>
            <c:v>Базовый</c:v>
          </c:tx>
          <c:spPr>
            <a:solidFill>
              <a:srgbClr val="17365D"/>
            </a:solidFill>
          </c:spPr>
          <c:invertIfNegative val="1"/>
          <c:cat>
            <c:strRef>
              <c:f>Assumptions!$AA$15:$AA$20</c:f>
              <c:strCache>
                <c:ptCount val="6"/>
                <c:pt idx="0">
                  <c:v>RKO revenue multiplier</c:v>
                </c:pt>
                <c:pt idx="1">
                  <c:v>Payments revenue multiplier</c:v>
                </c:pt>
                <c:pt idx="2">
                  <c:v>Team cost multiplier</c:v>
                </c:pt>
                <c:pt idx="3">
                  <c:v>Marketing cost multiplier</c:v>
                </c:pt>
                <c:pt idx="4">
                  <c:v>Infrastructure cost multiplier</c:v>
                </c:pt>
                <c:pt idx="5">
                  <c:v>CAPEX multiplier</c:v>
                </c:pt>
              </c:strCache>
            </c:strRef>
          </c:cat>
          <c:val>
            <c:numRef>
              <c:f>Assumptions!$AC$15:$AC$20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CCF2-A34E-AC10-2DA2316E5E2B}"/>
            </c:ext>
          </c:extLst>
        </c:ser>
        <c:ser>
          <c:idx val="2"/>
          <c:order val="2"/>
          <c:tx>
            <c:v>Оптимистичный</c:v>
          </c:tx>
          <c:spPr>
            <a:solidFill>
              <a:srgbClr val="8FFF00"/>
            </a:solidFill>
          </c:spPr>
          <c:invertIfNegative val="1"/>
          <c:cat>
            <c:strRef>
              <c:f>Assumptions!$AA$15:$AA$20</c:f>
              <c:strCache>
                <c:ptCount val="6"/>
                <c:pt idx="0">
                  <c:v>RKO revenue multiplier</c:v>
                </c:pt>
                <c:pt idx="1">
                  <c:v>Payments revenue multiplier</c:v>
                </c:pt>
                <c:pt idx="2">
                  <c:v>Team cost multiplier</c:v>
                </c:pt>
                <c:pt idx="3">
                  <c:v>Marketing cost multiplier</c:v>
                </c:pt>
                <c:pt idx="4">
                  <c:v>Infrastructure cost multiplier</c:v>
                </c:pt>
                <c:pt idx="5">
                  <c:v>CAPEX multiplier</c:v>
                </c:pt>
              </c:strCache>
            </c:strRef>
          </c:cat>
          <c:val>
            <c:numRef>
              <c:f>Assumptions!$AD$15:$AD$20</c:f>
              <c:numCache>
                <c:formatCode>General</c:formatCode>
                <c:ptCount val="6"/>
                <c:pt idx="0">
                  <c:v>1.3</c:v>
                </c:pt>
                <c:pt idx="1">
                  <c:v>1.3</c:v>
                </c:pt>
                <c:pt idx="2">
                  <c:v>0.9</c:v>
                </c:pt>
                <c:pt idx="3">
                  <c:v>0.85</c:v>
                </c:pt>
                <c:pt idx="4">
                  <c:v>0.85</c:v>
                </c:pt>
                <c:pt idx="5">
                  <c:v>0.85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CCF2-A34E-AC10-2DA2316E5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Мэтчи</c:v>
          </c:tx>
          <c:spPr>
            <a:solidFill>
              <a:srgbClr val="F52B23"/>
            </a:solidFill>
          </c:spPr>
          <c:invertIfNegative val="1"/>
          <c:cat>
            <c:strRef>
              <c:f>'Operating Model'!$B$4:$Y$4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'Operating Model'!$B$24:$Y$24</c:f>
              <c:numCache>
                <c:formatCode>#,##0;[Red]\(#,##0\);\-</c:formatCode>
                <c:ptCount val="24"/>
                <c:pt idx="0">
                  <c:v>5362.5</c:v>
                </c:pt>
                <c:pt idx="1">
                  <c:v>10778.625</c:v>
                </c:pt>
                <c:pt idx="2">
                  <c:v>16264.998750000002</c:v>
                </c:pt>
                <c:pt idx="3">
                  <c:v>21838.572112500002</c:v>
                </c:pt>
                <c:pt idx="4">
                  <c:v>27516.676204875002</c:v>
                </c:pt>
                <c:pt idx="5">
                  <c:v>33317.077054511254</c:v>
                </c:pt>
                <c:pt idx="6">
                  <c:v>39258.031941258494</c:v>
                </c:pt>
                <c:pt idx="7">
                  <c:v>45358.347608036733</c:v>
                </c:pt>
                <c:pt idx="8">
                  <c:v>51637.440527306542</c:v>
                </c:pt>
                <c:pt idx="9">
                  <c:v>58115.399418593151</c:v>
                </c:pt>
                <c:pt idx="10">
                  <c:v>64813.050220374542</c:v>
                </c:pt>
                <c:pt idx="11">
                  <c:v>71752.023728429529</c:v>
                </c:pt>
                <c:pt idx="12">
                  <c:v>78598.539211558615</c:v>
                </c:pt>
                <c:pt idx="13">
                  <c:v>85363.581837270001</c:v>
                </c:pt>
                <c:pt idx="14">
                  <c:v>92057.74657135304</c:v>
                </c:pt>
                <c:pt idx="15">
                  <c:v>98691.26166438061</c:v>
                </c:pt>
                <c:pt idx="16">
                  <c:v>105274.01106329667</c:v>
                </c:pt>
                <c:pt idx="17">
                  <c:v>111815.55580432031</c:v>
                </c:pt>
                <c:pt idx="18">
                  <c:v>118325.15444064749</c:v>
                </c:pt>
                <c:pt idx="19">
                  <c:v>124811.78255582186</c:v>
                </c:pt>
                <c:pt idx="20">
                  <c:v>131284.1514111677</c:v>
                </c:pt>
                <c:pt idx="21">
                  <c:v>137750.72577332464</c:v>
                </c:pt>
                <c:pt idx="22">
                  <c:v>144219.74096569163</c:v>
                </c:pt>
                <c:pt idx="23">
                  <c:v>150699.21918546612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55FC-CB40-9C57-674F1F6A1734}"/>
            </c:ext>
          </c:extLst>
        </c:ser>
        <c:ser>
          <c:idx val="1"/>
          <c:order val="1"/>
          <c:tx>
            <c:v>Чаты</c:v>
          </c:tx>
          <c:spPr>
            <a:solidFill>
              <a:srgbClr val="17365D"/>
            </a:solidFill>
          </c:spPr>
          <c:invertIfNegative val="1"/>
          <c:cat>
            <c:strRef>
              <c:f>'Operating Model'!$B$4:$Y$4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'Operating Model'!$B$25:$Y$25</c:f>
              <c:numCache>
                <c:formatCode>#,##0;[Red]\(#,##0\);\-</c:formatCode>
                <c:ptCount val="24"/>
                <c:pt idx="0">
                  <c:v>2681.25</c:v>
                </c:pt>
                <c:pt idx="1">
                  <c:v>5389.3125</c:v>
                </c:pt>
                <c:pt idx="2">
                  <c:v>8132.4993750000012</c:v>
                </c:pt>
                <c:pt idx="3">
                  <c:v>10919.286056250001</c:v>
                </c:pt>
                <c:pt idx="4">
                  <c:v>13758.338102437501</c:v>
                </c:pt>
                <c:pt idx="5">
                  <c:v>16658.538527255627</c:v>
                </c:pt>
                <c:pt idx="6">
                  <c:v>19629.015970629247</c:v>
                </c:pt>
                <c:pt idx="7">
                  <c:v>22679.173804018366</c:v>
                </c:pt>
                <c:pt idx="8">
                  <c:v>25818.720263653271</c:v>
                </c:pt>
                <c:pt idx="9">
                  <c:v>29057.699709296576</c:v>
                </c:pt>
                <c:pt idx="10">
                  <c:v>32406.525110187271</c:v>
                </c:pt>
                <c:pt idx="11">
                  <c:v>35876.011864214765</c:v>
                </c:pt>
                <c:pt idx="12">
                  <c:v>39299.269605779307</c:v>
                </c:pt>
                <c:pt idx="13">
                  <c:v>42681.790918635001</c:v>
                </c:pt>
                <c:pt idx="14">
                  <c:v>46028.87328567652</c:v>
                </c:pt>
                <c:pt idx="15">
                  <c:v>49345.630832190305</c:v>
                </c:pt>
                <c:pt idx="16">
                  <c:v>52637.005531648334</c:v>
                </c:pt>
                <c:pt idx="17">
                  <c:v>55907.777902160153</c:v>
                </c:pt>
                <c:pt idx="18">
                  <c:v>59162.577220323743</c:v>
                </c:pt>
                <c:pt idx="19">
                  <c:v>62405.891277910931</c:v>
                </c:pt>
                <c:pt idx="20">
                  <c:v>65642.075705583848</c:v>
                </c:pt>
                <c:pt idx="21">
                  <c:v>68875.362886662318</c:v>
                </c:pt>
                <c:pt idx="22">
                  <c:v>72109.870482845814</c:v>
                </c:pt>
                <c:pt idx="23">
                  <c:v>75349.609592733061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55FC-CB40-9C57-674F1F6A1734}"/>
            </c:ext>
          </c:extLst>
        </c:ser>
        <c:ser>
          <c:idx val="2"/>
          <c:order val="2"/>
          <c:tx>
            <c:v>Команды</c:v>
          </c:tx>
          <c:spPr>
            <a:solidFill>
              <a:srgbClr val="8FFF00"/>
            </a:solidFill>
          </c:spPr>
          <c:invertIfNegative val="1"/>
          <c:cat>
            <c:strRef>
              <c:f>'Operating Model'!$B$4:$Y$4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'Operating Model'!$B$26:$Y$26</c:f>
              <c:numCache>
                <c:formatCode>#,##0;[Red]\(#,##0\);\-</c:formatCode>
                <c:ptCount val="24"/>
                <c:pt idx="0">
                  <c:v>268.125</c:v>
                </c:pt>
                <c:pt idx="1">
                  <c:v>538.93124999999998</c:v>
                </c:pt>
                <c:pt idx="2">
                  <c:v>813.24993750000021</c:v>
                </c:pt>
                <c:pt idx="3">
                  <c:v>1091.928605625</c:v>
                </c:pt>
                <c:pt idx="4">
                  <c:v>1375.8338102437501</c:v>
                </c:pt>
                <c:pt idx="5">
                  <c:v>1665.8538527255628</c:v>
                </c:pt>
                <c:pt idx="6">
                  <c:v>1962.9015970629248</c:v>
                </c:pt>
                <c:pt idx="7">
                  <c:v>2267.9173804018369</c:v>
                </c:pt>
                <c:pt idx="8">
                  <c:v>2581.8720263653272</c:v>
                </c:pt>
                <c:pt idx="9">
                  <c:v>2905.7699709296576</c:v>
                </c:pt>
                <c:pt idx="10">
                  <c:v>3240.6525110187272</c:v>
                </c:pt>
                <c:pt idx="11">
                  <c:v>3587.6011864214765</c:v>
                </c:pt>
                <c:pt idx="12">
                  <c:v>3929.9269605779309</c:v>
                </c:pt>
                <c:pt idx="13">
                  <c:v>4268.1790918635006</c:v>
                </c:pt>
                <c:pt idx="14">
                  <c:v>4602.8873285676518</c:v>
                </c:pt>
                <c:pt idx="15">
                  <c:v>4934.5630832190309</c:v>
                </c:pt>
                <c:pt idx="16">
                  <c:v>5263.7005531648338</c:v>
                </c:pt>
                <c:pt idx="17">
                  <c:v>5590.777790216016</c:v>
                </c:pt>
                <c:pt idx="18">
                  <c:v>5916.2577220323747</c:v>
                </c:pt>
                <c:pt idx="19">
                  <c:v>6240.5891277910932</c:v>
                </c:pt>
                <c:pt idx="20">
                  <c:v>6564.2075705583848</c:v>
                </c:pt>
                <c:pt idx="21">
                  <c:v>6887.5362886662324</c:v>
                </c:pt>
                <c:pt idx="22">
                  <c:v>7210.9870482845818</c:v>
                </c:pt>
                <c:pt idx="23">
                  <c:v>7534.9609592733068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55FC-CB40-9C57-674F1F6A1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;[Red]\(#,##0\)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3.6003817704605104E-2"/>
          <c:y val="6.9444444444444448E-2"/>
          <c:w val="0.93975375805297068"/>
          <c:h val="0.81695182633420826"/>
        </c:manualLayout>
      </c:layout>
      <c:barChart>
        <c:barDir val="col"/>
        <c:grouping val="clustered"/>
        <c:varyColors val="0"/>
        <c:ser>
          <c:idx val="0"/>
          <c:order val="0"/>
          <c:tx>
            <c:v>Накопленные MVP</c:v>
          </c:tx>
          <c:spPr>
            <a:solidFill>
              <a:srgbClr val="F52B23"/>
            </a:solidFill>
          </c:spPr>
          <c:invertIfNegative val="1"/>
          <c:cat>
            <c:strRef>
              <c:f>'Operating Model'!$B$4:$Y$4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'Operating Model'!$B$31:$Y$31</c:f>
              <c:numCache>
                <c:formatCode>#,##0;[Red]\(#,##0\);\-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80.4375</c:v>
                </c:pt>
                <c:pt idx="4">
                  <c:v>242.11687499999999</c:v>
                </c:pt>
                <c:pt idx="5">
                  <c:v>486.09185625000003</c:v>
                </c:pt>
                <c:pt idx="6">
                  <c:v>813.67043793750008</c:v>
                </c:pt>
                <c:pt idx="7">
                  <c:v>1226.420581010625</c:v>
                </c:pt>
                <c:pt idx="8">
                  <c:v>1726.1767368282938</c:v>
                </c:pt>
                <c:pt idx="9">
                  <c:v>2315.047215947171</c:v>
                </c:pt>
                <c:pt idx="10">
                  <c:v>2995.422430067722</c:v>
                </c:pt>
                <c:pt idx="11">
                  <c:v>3769.98403797732</c:v>
                </c:pt>
                <c:pt idx="12">
                  <c:v>4641.7150292562173</c:v>
                </c:pt>
                <c:pt idx="13">
                  <c:v>5613.9107825618357</c:v>
                </c:pt>
                <c:pt idx="14">
                  <c:v>6690.1911384882787</c:v>
                </c:pt>
                <c:pt idx="15">
                  <c:v>7869.1692266616583</c:v>
                </c:pt>
                <c:pt idx="16">
                  <c:v>9149.6229542207075</c:v>
                </c:pt>
                <c:pt idx="17">
                  <c:v>10530.489152791002</c:v>
                </c:pt>
                <c:pt idx="18">
                  <c:v>12010.858077756711</c:v>
                </c:pt>
                <c:pt idx="19">
                  <c:v>13589.968243706162</c:v>
                </c:pt>
                <c:pt idx="20">
                  <c:v>15267.201580770967</c:v>
                </c:pt>
                <c:pt idx="21">
                  <c:v>17042.078897380678</c:v>
                </c:pt>
                <c:pt idx="22">
                  <c:v>18914.255635718004</c:v>
                </c:pt>
                <c:pt idx="23">
                  <c:v>20883.517906885518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59A2-7549-B1D9-8FBDF529BF45}"/>
            </c:ext>
          </c:extLst>
        </c:ser>
        <c:ser>
          <c:idx val="1"/>
          <c:order val="1"/>
          <c:tx>
            <c:v>Платёжные клиенты</c:v>
          </c:tx>
          <c:spPr>
            <a:solidFill>
              <a:srgbClr val="17365D"/>
            </a:solidFill>
          </c:spPr>
          <c:invertIfNegative val="1"/>
          <c:cat>
            <c:strRef>
              <c:f>'Operating Model'!$B$4:$Y$4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'Operating Model'!$B$44:$Y$44</c:f>
              <c:numCache>
                <c:formatCode>#,##0;[Red]\(#,##0\);\-</c:formatCode>
                <c:ptCount val="24"/>
                <c:pt idx="0">
                  <c:v>146.39625000000001</c:v>
                </c:pt>
                <c:pt idx="1">
                  <c:v>298.64834999999999</c:v>
                </c:pt>
                <c:pt idx="2">
                  <c:v>457.16620950000004</c:v>
                </c:pt>
                <c:pt idx="3">
                  <c:v>666.62378640000009</c:v>
                </c:pt>
                <c:pt idx="4">
                  <c:v>927.03685957740004</c:v>
                </c:pt>
                <c:pt idx="5">
                  <c:v>1238.5935682880761</c:v>
                </c:pt>
                <c:pt idx="6">
                  <c:v>1601.6557954380471</c:v>
                </c:pt>
                <c:pt idx="7">
                  <c:v>2016.7610895223688</c:v>
                </c:pt>
                <c:pt idx="8">
                  <c:v>2484.6251346126751</c:v>
                </c:pt>
                <c:pt idx="9">
                  <c:v>3006.1447794877022</c:v>
                </c:pt>
                <c:pt idx="10">
                  <c:v>3582.4016387592628</c:v>
                </c:pt>
                <c:pt idx="11">
                  <c:v>4214.6662806550685</c:v>
                </c:pt>
                <c:pt idx="12">
                  <c:v>4894.6763853240918</c:v>
                </c:pt>
                <c:pt idx="13">
                  <c:v>5623.4631916413982</c:v>
                </c:pt>
                <c:pt idx="14">
                  <c:v>6402.2201100164548</c:v>
                </c:pt>
                <c:pt idx="15">
                  <c:v>7229.367442421033</c:v>
                </c:pt>
                <c:pt idx="16">
                  <c:v>8103.4522744923779</c:v>
                </c:pt>
                <c:pt idx="17">
                  <c:v>9023.1428347475376</c:v>
                </c:pt>
                <c:pt idx="18">
                  <c:v>9987.2231632283565</c:v>
                </c:pt>
                <c:pt idx="19">
                  <c:v>10994.588074591731</c:v>
                </c:pt>
                <c:pt idx="20">
                  <c:v>12044.238401425178</c:v>
                </c:pt>
                <c:pt idx="21">
                  <c:v>13135.276504295147</c:v>
                </c:pt>
                <c:pt idx="22">
                  <c:v>14266.90203572698</c:v>
                </c:pt>
                <c:pt idx="23">
                  <c:v>15438.407945972587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59A2-7549-B1D9-8FBDF529BF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;[Red]\(#,##0\)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РКО</c:v>
          </c:tx>
          <c:spPr>
            <a:solidFill>
              <a:srgbClr val="F52B23"/>
            </a:solidFill>
          </c:spPr>
          <c:invertIfNegative val="1"/>
          <c:cat>
            <c:strRef>
              <c:f>'Banking Revenue'!$B$4:$Y$4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'Banking Revenue'!$B$13:$Y$13</c:f>
              <c:numCache>
                <c:formatCode>#,##0" ₽";[Red]\(#,##0") ₽";\-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128700</c:v>
                </c:pt>
                <c:pt idx="4">
                  <c:v>385456.49999999994</c:v>
                </c:pt>
                <c:pt idx="5">
                  <c:v>770034.62250000006</c:v>
                </c:pt>
                <c:pt idx="6">
                  <c:v>1282609.8338625</c:v>
                </c:pt>
                <c:pt idx="7">
                  <c:v>1923770.9152715625</c:v>
                </c:pt>
                <c:pt idx="8">
                  <c:v>2694524.2008507592</c:v>
                </c:pt>
                <c:pt idx="9">
                  <c:v>3596299.104428201</c:v>
                </c:pt>
                <c:pt idx="10">
                  <c:v>4630954.9604546595</c:v>
                </c:pt>
                <c:pt idx="11">
                  <c:v>5800789.2087031975</c:v>
                </c:pt>
                <c:pt idx="12">
                  <c:v>7108546.9566188836</c:v>
                </c:pt>
                <c:pt idx="13">
                  <c:v>8557431.9575585909</c:v>
                </c:pt>
                <c:pt idx="14">
                  <c:v>10151119.047677521</c:v>
                </c:pt>
                <c:pt idx="15">
                  <c:v>11885217.203039765</c:v>
                </c:pt>
                <c:pt idx="16">
                  <c:v>13755664.909088647</c:v>
                </c:pt>
                <c:pt idx="17">
                  <c:v>15758715.853164788</c:v>
                </c:pt>
                <c:pt idx="18">
                  <c:v>17890925.395312451</c:v>
                </c:pt>
                <c:pt idx="19">
                  <c:v>20149137.779901884</c:v>
                </c:pt>
                <c:pt idx="20">
                  <c:v>22530474.052507043</c:v>
                </c:pt>
                <c:pt idx="21">
                  <c:v>25032320.648294978</c:v>
                </c:pt>
                <c:pt idx="22">
                  <c:v>27652318.619910277</c:v>
                </c:pt>
                <c:pt idx="23">
                  <c:v>30388353.474479645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F05-FC49-9543-57EFEE250055}"/>
            </c:ext>
          </c:extLst>
        </c:ser>
        <c:ser>
          <c:idx val="1"/>
          <c:order val="1"/>
          <c:tx>
            <c:v>Платёжные сервисы</c:v>
          </c:tx>
          <c:spPr>
            <a:solidFill>
              <a:srgbClr val="17365D"/>
            </a:solidFill>
          </c:spPr>
          <c:invertIfNegative val="1"/>
          <c:cat>
            <c:strRef>
              <c:f>'Banking Revenue'!$B$4:$Y$4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'Banking Revenue'!$B$14:$Y$14</c:f>
              <c:numCache>
                <c:formatCode>#,##0" ₽";[Red]\(#,##0") ₽";\-</c:formatCode>
                <c:ptCount val="24"/>
                <c:pt idx="0">
                  <c:v>322071.75</c:v>
                </c:pt>
                <c:pt idx="1">
                  <c:v>657026.37</c:v>
                </c:pt>
                <c:pt idx="2">
                  <c:v>1005765.6609000001</c:v>
                </c:pt>
                <c:pt idx="3">
                  <c:v>1466572.3300800002</c:v>
                </c:pt>
                <c:pt idx="4">
                  <c:v>2039481.0910702802</c:v>
                </c:pt>
                <c:pt idx="5">
                  <c:v>2724905.8502337672</c:v>
                </c:pt>
                <c:pt idx="6">
                  <c:v>3523642.7499637036</c:v>
                </c:pt>
                <c:pt idx="7">
                  <c:v>4436874.3969492111</c:v>
                </c:pt>
                <c:pt idx="8">
                  <c:v>5466175.2961478848</c:v>
                </c:pt>
                <c:pt idx="9">
                  <c:v>6613518.5148729449</c:v>
                </c:pt>
                <c:pt idx="10">
                  <c:v>7881283.6052703783</c:v>
                </c:pt>
                <c:pt idx="11">
                  <c:v>9272265.8174411505</c:v>
                </c:pt>
                <c:pt idx="12">
                  <c:v>10768288.047713002</c:v>
                </c:pt>
                <c:pt idx="13">
                  <c:v>12371619.021611076</c:v>
                </c:pt>
                <c:pt idx="14">
                  <c:v>14084884.242036201</c:v>
                </c:pt>
                <c:pt idx="15">
                  <c:v>15904608.373326272</c:v>
                </c:pt>
                <c:pt idx="16">
                  <c:v>17827595.003883231</c:v>
                </c:pt>
                <c:pt idx="17">
                  <c:v>19850914.236444581</c:v>
                </c:pt>
                <c:pt idx="18">
                  <c:v>21971890.959102385</c:v>
                </c:pt>
                <c:pt idx="19">
                  <c:v>24188093.764101807</c:v>
                </c:pt>
                <c:pt idx="20">
                  <c:v>26497324.483135391</c:v>
                </c:pt>
                <c:pt idx="21">
                  <c:v>28897608.309449323</c:v>
                </c:pt>
                <c:pt idx="22">
                  <c:v>31387184.478599355</c:v>
                </c:pt>
                <c:pt idx="23">
                  <c:v>33964497.48113969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BF05-FC49-9543-57EFEE250055}"/>
            </c:ext>
          </c:extLst>
        </c:ser>
        <c:ser>
          <c:idx val="2"/>
          <c:order val="2"/>
          <c:tx>
            <c:v>Итого</c:v>
          </c:tx>
          <c:spPr>
            <a:solidFill>
              <a:srgbClr val="8FFF00"/>
            </a:solidFill>
          </c:spPr>
          <c:invertIfNegative val="1"/>
          <c:cat>
            <c:strRef>
              <c:f>'Banking Revenue'!$B$4:$Y$4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'Banking Revenue'!$B$15:$Y$15</c:f>
              <c:numCache>
                <c:formatCode>#,##0" ₽";[Red]\(#,##0") ₽";\-</c:formatCode>
                <c:ptCount val="24"/>
                <c:pt idx="0">
                  <c:v>322071.75</c:v>
                </c:pt>
                <c:pt idx="1">
                  <c:v>657026.37</c:v>
                </c:pt>
                <c:pt idx="2">
                  <c:v>1005765.6609000001</c:v>
                </c:pt>
                <c:pt idx="3">
                  <c:v>1595272.3300800002</c:v>
                </c:pt>
                <c:pt idx="4">
                  <c:v>2424937.5910702799</c:v>
                </c:pt>
                <c:pt idx="5">
                  <c:v>3494940.4727337672</c:v>
                </c:pt>
                <c:pt idx="6">
                  <c:v>4806252.5838262038</c:v>
                </c:pt>
                <c:pt idx="7">
                  <c:v>6360645.3122207737</c:v>
                </c:pt>
                <c:pt idx="8">
                  <c:v>8160699.4969986435</c:v>
                </c:pt>
                <c:pt idx="9">
                  <c:v>10209817.619301146</c:v>
                </c:pt>
                <c:pt idx="10">
                  <c:v>12512238.565725038</c:v>
                </c:pt>
                <c:pt idx="11">
                  <c:v>15073055.026144348</c:v>
                </c:pt>
                <c:pt idx="12">
                  <c:v>17876835.004331887</c:v>
                </c:pt>
                <c:pt idx="13">
                  <c:v>20929050.979169667</c:v>
                </c:pt>
                <c:pt idx="14">
                  <c:v>24236003.289713722</c:v>
                </c:pt>
                <c:pt idx="15">
                  <c:v>27789825.576366037</c:v>
                </c:pt>
                <c:pt idx="16">
                  <c:v>31583259.912971877</c:v>
                </c:pt>
                <c:pt idx="17">
                  <c:v>35609630.08960937</c:v>
                </c:pt>
                <c:pt idx="18">
                  <c:v>39862816.354414836</c:v>
                </c:pt>
                <c:pt idx="19">
                  <c:v>44337231.544003695</c:v>
                </c:pt>
                <c:pt idx="20">
                  <c:v>49027798.53564243</c:v>
                </c:pt>
                <c:pt idx="21">
                  <c:v>53929928.9577443</c:v>
                </c:pt>
                <c:pt idx="22">
                  <c:v>59039503.098509632</c:v>
                </c:pt>
                <c:pt idx="23">
                  <c:v>64352850.955619335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BF05-FC49-9543-57EFEE250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Активные счета</c:v>
          </c:tx>
          <c:spPr>
            <a:solidFill>
              <a:srgbClr val="F52B23"/>
            </a:solidFill>
          </c:spPr>
          <c:invertIfNegative val="1"/>
          <c:cat>
            <c:strRef>
              <c:f>'Banking Revenue'!$B$4:$Y$4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'Banking Revenue'!$B$7:$Y$7</c:f>
              <c:numCache>
                <c:formatCode>#,##0;[Red]\(#,##0\);\-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80.4375</c:v>
                </c:pt>
                <c:pt idx="4">
                  <c:v>240.91031249999997</c:v>
                </c:pt>
                <c:pt idx="5">
                  <c:v>481.27163906250001</c:v>
                </c:pt>
                <c:pt idx="6">
                  <c:v>801.63114616406256</c:v>
                </c:pt>
                <c:pt idx="7">
                  <c:v>1202.3568220447266</c:v>
                </c:pt>
                <c:pt idx="8">
                  <c:v>1684.0776255317244</c:v>
                </c:pt>
                <c:pt idx="9">
                  <c:v>2247.6869402676257</c:v>
                </c:pt>
                <c:pt idx="10">
                  <c:v>2894.3468502841624</c:v>
                </c:pt>
                <c:pt idx="11">
                  <c:v>3625.4932554394982</c:v>
                </c:pt>
                <c:pt idx="12">
                  <c:v>4442.8418478868025</c:v>
                </c:pt>
                <c:pt idx="13">
                  <c:v>5348.3949734741191</c:v>
                </c:pt>
                <c:pt idx="14">
                  <c:v>6344.4494047984499</c:v>
                </c:pt>
                <c:pt idx="15">
                  <c:v>7428.2607518998529</c:v>
                </c:pt>
                <c:pt idx="16">
                  <c:v>8597.2905681804041</c:v>
                </c:pt>
                <c:pt idx="17">
                  <c:v>9849.1974082279921</c:v>
                </c:pt>
                <c:pt idx="18">
                  <c:v>11181.828372070282</c:v>
                </c:pt>
                <c:pt idx="19">
                  <c:v>12593.211112438677</c:v>
                </c:pt>
                <c:pt idx="20">
                  <c:v>14081.546282816902</c:v>
                </c:pt>
                <c:pt idx="21">
                  <c:v>15645.200405184361</c:v>
                </c:pt>
                <c:pt idx="22">
                  <c:v>17282.699137443924</c:v>
                </c:pt>
                <c:pt idx="23">
                  <c:v>18992.720921549779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443-944F-8537-076175D3DC2D}"/>
            </c:ext>
          </c:extLst>
        </c:ser>
        <c:ser>
          <c:idx val="1"/>
          <c:order val="1"/>
          <c:tx>
            <c:v>Платёжные клиенты</c:v>
          </c:tx>
          <c:spPr>
            <a:solidFill>
              <a:srgbClr val="17365D"/>
            </a:solidFill>
          </c:spPr>
          <c:invertIfNegative val="1"/>
          <c:cat>
            <c:strRef>
              <c:f>'Banking Revenue'!$B$4:$Y$4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'Banking Revenue'!$B$9:$Y$9</c:f>
              <c:numCache>
                <c:formatCode>#,##0;[Red]\(#,##0\);\-</c:formatCode>
                <c:ptCount val="24"/>
                <c:pt idx="0">
                  <c:v>146.39625000000001</c:v>
                </c:pt>
                <c:pt idx="1">
                  <c:v>298.64834999999999</c:v>
                </c:pt>
                <c:pt idx="2">
                  <c:v>457.16620950000004</c:v>
                </c:pt>
                <c:pt idx="3">
                  <c:v>666.62378640000009</c:v>
                </c:pt>
                <c:pt idx="4">
                  <c:v>927.03685957740004</c:v>
                </c:pt>
                <c:pt idx="5">
                  <c:v>1238.5935682880761</c:v>
                </c:pt>
                <c:pt idx="6">
                  <c:v>1601.6557954380471</c:v>
                </c:pt>
                <c:pt idx="7">
                  <c:v>2016.7610895223688</c:v>
                </c:pt>
                <c:pt idx="8">
                  <c:v>2484.6251346126751</c:v>
                </c:pt>
                <c:pt idx="9">
                  <c:v>3006.1447794877022</c:v>
                </c:pt>
                <c:pt idx="10">
                  <c:v>3582.4016387592628</c:v>
                </c:pt>
                <c:pt idx="11">
                  <c:v>4214.6662806550685</c:v>
                </c:pt>
                <c:pt idx="12">
                  <c:v>4894.6763853240918</c:v>
                </c:pt>
                <c:pt idx="13">
                  <c:v>5623.4631916413982</c:v>
                </c:pt>
                <c:pt idx="14">
                  <c:v>6402.2201100164548</c:v>
                </c:pt>
                <c:pt idx="15">
                  <c:v>7229.367442421033</c:v>
                </c:pt>
                <c:pt idx="16">
                  <c:v>8103.4522744923779</c:v>
                </c:pt>
                <c:pt idx="17">
                  <c:v>9023.1428347475376</c:v>
                </c:pt>
                <c:pt idx="18">
                  <c:v>9987.2231632283565</c:v>
                </c:pt>
                <c:pt idx="19">
                  <c:v>10994.588074591731</c:v>
                </c:pt>
                <c:pt idx="20">
                  <c:v>12044.238401425178</c:v>
                </c:pt>
                <c:pt idx="21">
                  <c:v>13135.276504295147</c:v>
                </c:pt>
                <c:pt idx="22">
                  <c:v>14266.90203572698</c:v>
                </c:pt>
                <c:pt idx="23">
                  <c:v>15438.407945972587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B443-944F-8537-076175D3D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;[Red]\(#,##0\)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Доход / MAU</c:v>
          </c:tx>
          <c:spPr>
            <a:solidFill>
              <a:srgbClr val="F52B23"/>
            </a:solidFill>
          </c:spPr>
          <c:invertIfNegative val="1"/>
          <c:cat>
            <c:strRef>
              <c:f>'Banking Revenue'!$B$4:$Y$4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'Banking Revenue'!$B$20:$Y$20</c:f>
              <c:numCache>
                <c:formatCode>#,##0" ₽";[Red]\(#,##0") ₽";\-</c:formatCode>
                <c:ptCount val="24"/>
                <c:pt idx="0">
                  <c:v>32.052024432997278</c:v>
                </c:pt>
                <c:pt idx="1">
                  <c:v>32.952245305336717</c:v>
                </c:pt>
                <c:pt idx="2">
                  <c:v>33.841076616211318</c:v>
                </c:pt>
                <c:pt idx="3">
                  <c:v>40.44749364058648</c:v>
                </c:pt>
                <c:pt idx="4">
                  <c:v>49.341588337106025</c:v>
                </c:pt>
                <c:pt idx="5">
                  <c:v>59.355583399434821</c:v>
                </c:pt>
                <c:pt idx="6">
                  <c:v>69.968879321883506</c:v>
                </c:pt>
                <c:pt idx="7">
                  <c:v>80.904541285236405</c:v>
                </c:pt>
                <c:pt idx="8">
                  <c:v>91.994969141669486</c:v>
                </c:pt>
                <c:pt idx="9">
                  <c:v>103.12829634562914</c:v>
                </c:pt>
                <c:pt idx="10">
                  <c:v>114.22411961228498</c:v>
                </c:pt>
                <c:pt idx="11">
                  <c:v>125.2214259135387</c:v>
                </c:pt>
                <c:pt idx="12">
                  <c:v>136.60278667778459</c:v>
                </c:pt>
                <c:pt idx="13">
                  <c:v>148.36225063889657</c:v>
                </c:pt>
                <c:pt idx="14">
                  <c:v>160.49662733300949</c:v>
                </c:pt>
                <c:pt idx="15">
                  <c:v>172.91116439237763</c:v>
                </c:pt>
                <c:pt idx="16">
                  <c:v>185.53181034987034</c:v>
                </c:pt>
                <c:pt idx="17">
                  <c:v>198.29872335431989</c:v>
                </c:pt>
                <c:pt idx="18">
                  <c:v>211.16219094358203</c:v>
                </c:pt>
                <c:pt idx="19">
                  <c:v>224.07998303314423</c:v>
                </c:pt>
                <c:pt idx="20">
                  <c:v>237.01558698568769</c:v>
                </c:pt>
                <c:pt idx="21">
                  <c:v>249.93700174497107</c:v>
                </c:pt>
                <c:pt idx="22">
                  <c:v>262.81589521409001</c:v>
                </c:pt>
                <c:pt idx="23">
                  <c:v>275.62700263709007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61B0-FB42-8C28-7E884BF715B3}"/>
            </c:ext>
          </c:extLst>
        </c:ser>
        <c:ser>
          <c:idx val="1"/>
          <c:order val="1"/>
          <c:tx>
            <c:v>Доход / фаундера</c:v>
          </c:tx>
          <c:spPr>
            <a:solidFill>
              <a:srgbClr val="17365D"/>
            </a:solidFill>
          </c:spPr>
          <c:invertIfNegative val="1"/>
          <c:cat>
            <c:strRef>
              <c:f>'Banking Revenue'!$B$4:$Y$4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'Banking Revenue'!$B$21:$Y$21</c:f>
              <c:numCache>
                <c:formatCode>#,##0" ₽";[Red]\(#,##0") ₽";\-</c:formatCode>
                <c:ptCount val="24"/>
                <c:pt idx="0">
                  <c:v>146.39625000000001</c:v>
                </c:pt>
                <c:pt idx="1">
                  <c:v>144.97492718446603</c:v>
                </c:pt>
                <c:pt idx="2">
                  <c:v>143.6003924802111</c:v>
                </c:pt>
                <c:pt idx="3">
                  <c:v>165.75712848853476</c:v>
                </c:pt>
                <c:pt idx="4">
                  <c:v>195.53418178461257</c:v>
                </c:pt>
                <c:pt idx="5">
                  <c:v>227.7472056974575</c:v>
                </c:pt>
                <c:pt idx="6">
                  <c:v>260.26954016831922</c:v>
                </c:pt>
                <c:pt idx="7">
                  <c:v>292.11536135028592</c:v>
                </c:pt>
                <c:pt idx="8">
                  <c:v>322.80104973509071</c:v>
                </c:pt>
                <c:pt idx="9">
                  <c:v>352.09000753585349</c:v>
                </c:pt>
                <c:pt idx="10">
                  <c:v>379.87689817364594</c:v>
                </c:pt>
                <c:pt idx="11">
                  <c:v>406.12996620050825</c:v>
                </c:pt>
                <c:pt idx="12">
                  <c:v>431.86462866940093</c:v>
                </c:pt>
                <c:pt idx="13">
                  <c:v>457.14370891363495</c:v>
                </c:pt>
                <c:pt idx="14">
                  <c:v>482.02472295164893</c:v>
                </c:pt>
                <c:pt idx="15">
                  <c:v>506.28773129784901</c:v>
                </c:pt>
                <c:pt idx="16">
                  <c:v>529.79208322094973</c:v>
                </c:pt>
                <c:pt idx="17">
                  <c:v>552.45027380210649</c:v>
                </c:pt>
                <c:pt idx="18">
                  <c:v>574.21115355762595</c:v>
                </c:pt>
                <c:pt idx="19">
                  <c:v>595.04882823589696</c:v>
                </c:pt>
                <c:pt idx="20">
                  <c:v>614.9551373152259</c:v>
                </c:pt>
                <c:pt idx="21">
                  <c:v>633.93444900206725</c:v>
                </c:pt>
                <c:pt idx="22">
                  <c:v>651.9999929706006</c:v>
                </c:pt>
                <c:pt idx="23">
                  <c:v>669.17123678775624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61B0-FB42-8C28-7E884BF71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Команда</c:v>
          </c:tx>
          <c:spPr>
            <a:solidFill>
              <a:srgbClr val="F52B23"/>
            </a:solidFill>
          </c:spPr>
          <c:invertIfNegative val="1"/>
          <c:cat>
            <c:strRef>
              <c:f>Costs!$B$4:$Y$4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Costs!$B$15:$Y$15</c:f>
              <c:numCache>
                <c:formatCode>#,##0" ₽";[Red]\(#,##0") ₽";\-</c:formatCode>
                <c:ptCount val="24"/>
                <c:pt idx="0">
                  <c:v>2000000</c:v>
                </c:pt>
                <c:pt idx="1">
                  <c:v>2000000</c:v>
                </c:pt>
                <c:pt idx="2">
                  <c:v>2000000</c:v>
                </c:pt>
                <c:pt idx="3">
                  <c:v>2000000</c:v>
                </c:pt>
                <c:pt idx="4">
                  <c:v>2000000</c:v>
                </c:pt>
                <c:pt idx="5">
                  <c:v>2000000</c:v>
                </c:pt>
                <c:pt idx="6">
                  <c:v>2600000</c:v>
                </c:pt>
                <c:pt idx="7">
                  <c:v>2600000</c:v>
                </c:pt>
                <c:pt idx="8">
                  <c:v>2600000</c:v>
                </c:pt>
                <c:pt idx="9">
                  <c:v>2600000</c:v>
                </c:pt>
                <c:pt idx="10">
                  <c:v>2600000</c:v>
                </c:pt>
                <c:pt idx="11">
                  <c:v>2600000</c:v>
                </c:pt>
                <c:pt idx="12">
                  <c:v>3200000</c:v>
                </c:pt>
                <c:pt idx="13">
                  <c:v>3200000</c:v>
                </c:pt>
                <c:pt idx="14">
                  <c:v>3200000</c:v>
                </c:pt>
                <c:pt idx="15">
                  <c:v>3200000</c:v>
                </c:pt>
                <c:pt idx="16">
                  <c:v>3200000</c:v>
                </c:pt>
                <c:pt idx="17">
                  <c:v>3200000</c:v>
                </c:pt>
                <c:pt idx="18">
                  <c:v>3200000</c:v>
                </c:pt>
                <c:pt idx="19">
                  <c:v>3200000</c:v>
                </c:pt>
                <c:pt idx="20">
                  <c:v>3200000</c:v>
                </c:pt>
                <c:pt idx="21">
                  <c:v>3200000</c:v>
                </c:pt>
                <c:pt idx="22">
                  <c:v>3200000</c:v>
                </c:pt>
                <c:pt idx="23">
                  <c:v>3200000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ADDB-2244-99D3-D13D15498F18}"/>
            </c:ext>
          </c:extLst>
        </c:ser>
        <c:ser>
          <c:idx val="1"/>
          <c:order val="1"/>
          <c:tx>
            <c:v>Маркетинг</c:v>
          </c:tx>
          <c:spPr>
            <a:solidFill>
              <a:srgbClr val="17365D"/>
            </a:solidFill>
          </c:spPr>
          <c:invertIfNegative val="1"/>
          <c:cat>
            <c:strRef>
              <c:f>Costs!$B$4:$Y$4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Costs!$B$18:$Y$18</c:f>
              <c:numCache>
                <c:formatCode>#,##0" ₽";[Red]\(#,##0") ₽";\-</c:formatCode>
                <c:ptCount val="24"/>
                <c:pt idx="0">
                  <c:v>109500.39044859924</c:v>
                </c:pt>
                <c:pt idx="1">
                  <c:v>118391.82215302551</c:v>
                </c:pt>
                <c:pt idx="2">
                  <c:v>128005.2381118512</c:v>
                </c:pt>
                <c:pt idx="3">
                  <c:v>138399.2634465335</c:v>
                </c:pt>
                <c:pt idx="4">
                  <c:v>149637.28363839205</c:v>
                </c:pt>
                <c:pt idx="5">
                  <c:v>161787.83106982947</c:v>
                </c:pt>
                <c:pt idx="6">
                  <c:v>174925.00295269964</c:v>
                </c:pt>
                <c:pt idx="7">
                  <c:v>189128.9131924588</c:v>
                </c:pt>
                <c:pt idx="8">
                  <c:v>204486.18094368649</c:v>
                </c:pt>
                <c:pt idx="9">
                  <c:v>221090.45883631386</c:v>
                </c:pt>
                <c:pt idx="10">
                  <c:v>239043.00409382253</c:v>
                </c:pt>
                <c:pt idx="11">
                  <c:v>258453.29602624092</c:v>
                </c:pt>
                <c:pt idx="12">
                  <c:v>3333333.3333333335</c:v>
                </c:pt>
                <c:pt idx="13">
                  <c:v>3333333.3333333335</c:v>
                </c:pt>
                <c:pt idx="14">
                  <c:v>3333333.3333333335</c:v>
                </c:pt>
                <c:pt idx="15">
                  <c:v>3333333.3333333335</c:v>
                </c:pt>
                <c:pt idx="16">
                  <c:v>3333333.3333333335</c:v>
                </c:pt>
                <c:pt idx="17">
                  <c:v>3333333.3333333335</c:v>
                </c:pt>
                <c:pt idx="18">
                  <c:v>3333333.3333333335</c:v>
                </c:pt>
                <c:pt idx="19">
                  <c:v>3333333.3333333335</c:v>
                </c:pt>
                <c:pt idx="20">
                  <c:v>3333333.3333333335</c:v>
                </c:pt>
                <c:pt idx="21">
                  <c:v>3333333.3333333335</c:v>
                </c:pt>
                <c:pt idx="22">
                  <c:v>3333333.3333333335</c:v>
                </c:pt>
                <c:pt idx="23">
                  <c:v>3333333.3333333335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ADDB-2244-99D3-D13D15498F18}"/>
            </c:ext>
          </c:extLst>
        </c:ser>
        <c:ser>
          <c:idx val="2"/>
          <c:order val="2"/>
          <c:tx>
            <c:v>Инфраструктура</c:v>
          </c:tx>
          <c:spPr>
            <a:solidFill>
              <a:srgbClr val="8FFF00"/>
            </a:solidFill>
          </c:spPr>
          <c:invertIfNegative val="1"/>
          <c:cat>
            <c:strRef>
              <c:f>Costs!$B$4:$Y$4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Costs!$B$21:$Y$21</c:f>
              <c:numCache>
                <c:formatCode>#,##0" ₽";[Red]\(#,##0") ₽";\-</c:formatCode>
                <c:ptCount val="24"/>
                <c:pt idx="0">
                  <c:v>50292.029278567177</c:v>
                </c:pt>
                <c:pt idx="1">
                  <c:v>99743.717971563019</c:v>
                </c:pt>
                <c:pt idx="2">
                  <c:v>148651.30963123607</c:v>
                </c:pt>
                <c:pt idx="3">
                  <c:v>197252.86555397912</c:v>
                </c:pt>
                <c:pt idx="4">
                  <c:v>245779.58358199731</c:v>
                </c:pt>
                <c:pt idx="5">
                  <c:v>294457.05259473925</c:v>
                </c:pt>
                <c:pt idx="6">
                  <c:v>343506.45023951365</c:v>
                </c:pt>
                <c:pt idx="7">
                  <c:v>393145.69099438639</c:v>
                </c:pt>
                <c:pt idx="8">
                  <c:v>443590.53124532342</c:v>
                </c:pt>
                <c:pt idx="9">
                  <c:v>495055.63769052632</c:v>
                </c:pt>
                <c:pt idx="10">
                  <c:v>547755.62505518878</c:v>
                </c:pt>
                <c:pt idx="11">
                  <c:v>601906.06880693883</c:v>
                </c:pt>
                <c:pt idx="12">
                  <c:v>654386.39529255498</c:v>
                </c:pt>
                <c:pt idx="13">
                  <c:v>705386.12455467286</c:v>
                </c:pt>
                <c:pt idx="14">
                  <c:v>755081.54466377629</c:v>
                </c:pt>
                <c:pt idx="15">
                  <c:v>803636.79192351457</c:v>
                </c:pt>
                <c:pt idx="16">
                  <c:v>851204.84653044434</c:v>
                </c:pt>
                <c:pt idx="17">
                  <c:v>897928.45043213235</c:v>
                </c:pt>
                <c:pt idx="18">
                  <c:v>943940.95359086595</c:v>
                </c:pt>
                <c:pt idx="19">
                  <c:v>989367.09436638223</c:v>
                </c:pt>
                <c:pt idx="20">
                  <c:v>1034323.7192765933</c:v>
                </c:pt>
                <c:pt idx="21">
                  <c:v>1078920.4469771334</c:v>
                </c:pt>
                <c:pt idx="22">
                  <c:v>1123260.2809157721</c:v>
                </c:pt>
                <c:pt idx="23">
                  <c:v>1167440.1747636611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ADDB-2244-99D3-D13D15498F18}"/>
            </c:ext>
          </c:extLst>
        </c:ser>
        <c:ser>
          <c:idx val="3"/>
          <c:order val="3"/>
          <c:tx>
            <c:v>AI</c:v>
          </c:tx>
          <c:spPr>
            <a:solidFill>
              <a:srgbClr val="7F8C8D"/>
            </a:solidFill>
          </c:spPr>
          <c:invertIfNegative val="1"/>
          <c:cat>
            <c:strRef>
              <c:f>Costs!$B$4:$Y$4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Costs!$B$24:$Y$24</c:f>
              <c:numCache>
                <c:formatCode>#,##0" ₽";[Red]\(#,##0") ₽";\-</c:formatCode>
                <c:ptCount val="24"/>
                <c:pt idx="0">
                  <c:v>165072.60878357015</c:v>
                </c:pt>
                <c:pt idx="1">
                  <c:v>179908.11539146892</c:v>
                </c:pt>
                <c:pt idx="2">
                  <c:v>194580.39288937082</c:v>
                </c:pt>
                <c:pt idx="3">
                  <c:v>209160.85966619375</c:v>
                </c:pt>
                <c:pt idx="4">
                  <c:v>223718.8750745992</c:v>
                </c:pt>
                <c:pt idx="5">
                  <c:v>238322.11577842175</c:v>
                </c:pt>
                <c:pt idx="6">
                  <c:v>253036.9350718541</c:v>
                </c:pt>
                <c:pt idx="7">
                  <c:v>267928.70729831595</c:v>
                </c:pt>
                <c:pt idx="8">
                  <c:v>283062.15937359701</c:v>
                </c:pt>
                <c:pt idx="9">
                  <c:v>298501.69130715792</c:v>
                </c:pt>
                <c:pt idx="10">
                  <c:v>314311.68751655659</c:v>
                </c:pt>
                <c:pt idx="11">
                  <c:v>330556.82064208167</c:v>
                </c:pt>
                <c:pt idx="12">
                  <c:v>380931.01044654317</c:v>
                </c:pt>
                <c:pt idx="13">
                  <c:v>397760.92110304208</c:v>
                </c:pt>
                <c:pt idx="14">
                  <c:v>414160.40973904618</c:v>
                </c:pt>
                <c:pt idx="15">
                  <c:v>430183.64133475983</c:v>
                </c:pt>
                <c:pt idx="16">
                  <c:v>445881.09935504664</c:v>
                </c:pt>
                <c:pt idx="17">
                  <c:v>461299.88864260371</c:v>
                </c:pt>
                <c:pt idx="18">
                  <c:v>476484.0146849858</c:v>
                </c:pt>
                <c:pt idx="19">
                  <c:v>491474.64114090614</c:v>
                </c:pt>
                <c:pt idx="20">
                  <c:v>506310.32736127585</c:v>
                </c:pt>
                <c:pt idx="21">
                  <c:v>521027.24750245403</c:v>
                </c:pt>
                <c:pt idx="22">
                  <c:v>535659.39270220476</c:v>
                </c:pt>
                <c:pt idx="23">
                  <c:v>550238.75767200813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3-ADDB-2244-99D3-D13D15498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OPEX</c:v>
          </c:tx>
          <c:spPr>
            <a:solidFill>
              <a:srgbClr val="F52B23"/>
            </a:solidFill>
          </c:spPr>
          <c:invertIfNegative val="1"/>
          <c:cat>
            <c:strRef>
              <c:f>Costs!$B$4:$Y$4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Costs!$B$27:$Y$27</c:f>
              <c:numCache>
                <c:formatCode>#,##0" ₽";[Red]\(#,##0") ₽";\-</c:formatCode>
                <c:ptCount val="24"/>
                <c:pt idx="0">
                  <c:v>2324865.0285107363</c:v>
                </c:pt>
                <c:pt idx="1">
                  <c:v>2398043.6555160573</c:v>
                </c:pt>
                <c:pt idx="2">
                  <c:v>2471236.9406324578</c:v>
                </c:pt>
                <c:pt idx="3">
                  <c:v>2544812.9886667067</c:v>
                </c:pt>
                <c:pt idx="4">
                  <c:v>2619135.7422949891</c:v>
                </c:pt>
                <c:pt idx="5">
                  <c:v>2694566.9994429909</c:v>
                </c:pt>
                <c:pt idx="6">
                  <c:v>3371468.388264067</c:v>
                </c:pt>
                <c:pt idx="7">
                  <c:v>3450203.3114851615</c:v>
                </c:pt>
                <c:pt idx="8">
                  <c:v>3531138.8715626067</c:v>
                </c:pt>
                <c:pt idx="9">
                  <c:v>3614647.787833998</c:v>
                </c:pt>
                <c:pt idx="10">
                  <c:v>3701110.3166655679</c:v>
                </c:pt>
                <c:pt idx="11">
                  <c:v>3790916.1854752614</c:v>
                </c:pt>
                <c:pt idx="12">
                  <c:v>7568650.7390724318</c:v>
                </c:pt>
                <c:pt idx="13">
                  <c:v>7636480.3789910488</c:v>
                </c:pt>
                <c:pt idx="14">
                  <c:v>7702575.287736157</c:v>
                </c:pt>
                <c:pt idx="15">
                  <c:v>7767153.7665916085</c:v>
                </c:pt>
                <c:pt idx="16">
                  <c:v>7830419.2792188246</c:v>
                </c:pt>
                <c:pt idx="17">
                  <c:v>7892561.6724080695</c:v>
                </c:pt>
                <c:pt idx="18">
                  <c:v>7953758.3016091855</c:v>
                </c:pt>
                <c:pt idx="19">
                  <c:v>8014175.068840622</c:v>
                </c:pt>
                <c:pt idx="20">
                  <c:v>8073967.3799712025</c:v>
                </c:pt>
                <c:pt idx="21">
                  <c:v>8133281.0278129205</c:v>
                </c:pt>
                <c:pt idx="22">
                  <c:v>8192253.0069513116</c:v>
                </c:pt>
                <c:pt idx="23">
                  <c:v>8251012.265769003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AEC-724E-9453-9A800C509575}"/>
            </c:ext>
          </c:extLst>
        </c:ser>
        <c:ser>
          <c:idx val="1"/>
          <c:order val="1"/>
          <c:tx>
            <c:v>С CAPEX</c:v>
          </c:tx>
          <c:spPr>
            <a:solidFill>
              <a:srgbClr val="17365D"/>
            </a:solidFill>
          </c:spPr>
          <c:invertIfNegative val="1"/>
          <c:cat>
            <c:strRef>
              <c:f>Costs!$B$4:$Y$4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Costs!$B$28:$Y$28</c:f>
              <c:numCache>
                <c:formatCode>#,##0" ₽";[Red]\(#,##0") ₽";\-</c:formatCode>
                <c:ptCount val="24"/>
                <c:pt idx="0">
                  <c:v>10324865.028510736</c:v>
                </c:pt>
                <c:pt idx="1">
                  <c:v>2398043.6555160573</c:v>
                </c:pt>
                <c:pt idx="2">
                  <c:v>2471236.9406324578</c:v>
                </c:pt>
                <c:pt idx="3">
                  <c:v>2544812.9886667067</c:v>
                </c:pt>
                <c:pt idx="4">
                  <c:v>2619135.7422949891</c:v>
                </c:pt>
                <c:pt idx="5">
                  <c:v>2694566.9994429909</c:v>
                </c:pt>
                <c:pt idx="6">
                  <c:v>3371468.388264067</c:v>
                </c:pt>
                <c:pt idx="7">
                  <c:v>3450203.3114851615</c:v>
                </c:pt>
                <c:pt idx="8">
                  <c:v>3531138.8715626067</c:v>
                </c:pt>
                <c:pt idx="9">
                  <c:v>3614647.787833998</c:v>
                </c:pt>
                <c:pt idx="10">
                  <c:v>3701110.3166655679</c:v>
                </c:pt>
                <c:pt idx="11">
                  <c:v>3790916.1854752614</c:v>
                </c:pt>
                <c:pt idx="12">
                  <c:v>7568650.7390724318</c:v>
                </c:pt>
                <c:pt idx="13">
                  <c:v>7636480.3789910488</c:v>
                </c:pt>
                <c:pt idx="14">
                  <c:v>7702575.287736157</c:v>
                </c:pt>
                <c:pt idx="15">
                  <c:v>7767153.7665916085</c:v>
                </c:pt>
                <c:pt idx="16">
                  <c:v>7830419.2792188246</c:v>
                </c:pt>
                <c:pt idx="17">
                  <c:v>7892561.6724080695</c:v>
                </c:pt>
                <c:pt idx="18">
                  <c:v>7953758.3016091855</c:v>
                </c:pt>
                <c:pt idx="19">
                  <c:v>8014175.068840622</c:v>
                </c:pt>
                <c:pt idx="20">
                  <c:v>8073967.3799712025</c:v>
                </c:pt>
                <c:pt idx="21">
                  <c:v>8133281.0278129205</c:v>
                </c:pt>
                <c:pt idx="22">
                  <c:v>8192253.0069513116</c:v>
                </c:pt>
                <c:pt idx="23">
                  <c:v>8251012.265769003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8AEC-724E-9453-9A800C509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На регистрацию</c:v>
          </c:tx>
          <c:spPr>
            <a:solidFill>
              <a:srgbClr val="F52B23"/>
            </a:solidFill>
          </c:spPr>
          <c:invertIfNegative val="1"/>
          <c:cat>
            <c:strRef>
              <c:f>Costs!$B$4:$Y$4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Costs!$B$34:$Y$34</c:f>
              <c:numCache>
                <c:formatCode>0.0%;[Red]\(0.0%\);\-</c:formatCode>
                <c:ptCount val="24"/>
                <c:pt idx="0">
                  <c:v>795.87290549650459</c:v>
                </c:pt>
                <c:pt idx="1">
                  <c:v>174.38557457431332</c:v>
                </c:pt>
                <c:pt idx="2">
                  <c:v>169.53602394601111</c:v>
                </c:pt>
                <c:pt idx="3">
                  <c:v>164.70152250362148</c:v>
                </c:pt>
                <c:pt idx="4">
                  <c:v>159.91672351028572</c:v>
                </c:pt>
                <c:pt idx="5">
                  <c:v>155.20974921677143</c:v>
                </c:pt>
                <c:pt idx="6">
                  <c:v>183.20749526344576</c:v>
                </c:pt>
                <c:pt idx="7">
                  <c:v>176.87358059780274</c:v>
                </c:pt>
                <c:pt idx="8">
                  <c:v>170.77614760843053</c:v>
                </c:pt>
                <c:pt idx="9">
                  <c:v>164.91969973545213</c:v>
                </c:pt>
                <c:pt idx="10">
                  <c:v>159.30621317723697</c:v>
                </c:pt>
                <c:pt idx="11">
                  <c:v>153.93557616282109</c:v>
                </c:pt>
                <c:pt idx="12">
                  <c:v>299.83989590393389</c:v>
                </c:pt>
                <c:pt idx="13">
                  <c:v>295.14832874564149</c:v>
                </c:pt>
                <c:pt idx="14">
                  <c:v>290.44183687057938</c:v>
                </c:pt>
                <c:pt idx="15">
                  <c:v>285.73356540065276</c:v>
                </c:pt>
                <c:pt idx="16">
                  <c:v>281.03506393016153</c:v>
                </c:pt>
                <c:pt idx="17">
                  <c:v>276.35645352733934</c:v>
                </c:pt>
                <c:pt idx="18">
                  <c:v>271.70657672566597</c:v>
                </c:pt>
                <c:pt idx="19">
                  <c:v>267.09313223162803</c:v>
                </c:pt>
                <c:pt idx="20">
                  <c:v>262.52279590009516</c:v>
                </c:pt>
                <c:pt idx="21">
                  <c:v>258.0013293708455</c:v>
                </c:pt>
                <c:pt idx="22">
                  <c:v>253.53367761818893</c:v>
                </c:pt>
                <c:pt idx="23">
                  <c:v>249.12405653846787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3204-E043-85D8-5B0A681A8C84}"/>
            </c:ext>
          </c:extLst>
        </c:ser>
        <c:ser>
          <c:idx val="1"/>
          <c:order val="1"/>
          <c:tx>
            <c:v>На MAU</c:v>
          </c:tx>
          <c:spPr>
            <a:solidFill>
              <a:srgbClr val="17365D"/>
            </a:solidFill>
          </c:spPr>
          <c:invertIfNegative val="1"/>
          <c:cat>
            <c:strRef>
              <c:f>Costs!$B$4:$Y$4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Costs!$B$35:$Y$35</c:f>
              <c:numCache>
                <c:formatCode>0.0%;[Red]\(0.0%\);\-</c:formatCode>
                <c:ptCount val="24"/>
                <c:pt idx="0">
                  <c:v>231.36655325171191</c:v>
                </c:pt>
                <c:pt idx="1">
                  <c:v>120.27054985551264</c:v>
                </c:pt>
                <c:pt idx="2">
                  <c:v>83.149904491588771</c:v>
                </c:pt>
                <c:pt idx="3">
                  <c:v>64.522718306294863</c:v>
                </c:pt>
                <c:pt idx="4">
                  <c:v>53.29304888967534</c:v>
                </c:pt>
                <c:pt idx="5">
                  <c:v>45.762609551887145</c:v>
                </c:pt>
                <c:pt idx="6">
                  <c:v>49.081453935614419</c:v>
                </c:pt>
                <c:pt idx="7">
                  <c:v>43.885030929204873</c:v>
                </c:pt>
                <c:pt idx="8">
                  <c:v>39.806270485002472</c:v>
                </c:pt>
                <c:pt idx="9">
                  <c:v>36.511177980702591</c:v>
                </c:pt>
                <c:pt idx="10">
                  <c:v>33.78740465092568</c:v>
                </c:pt>
                <c:pt idx="11">
                  <c:v>31.493544569468298</c:v>
                </c:pt>
                <c:pt idx="12">
                  <c:v>57.834554164517122</c:v>
                </c:pt>
                <c:pt idx="13">
                  <c:v>54.133625892282801</c:v>
                </c:pt>
                <c:pt idx="14">
                  <c:v>51.008301190688641</c:v>
                </c:pt>
                <c:pt idx="15">
                  <c:v>48.328032794066175</c:v>
                </c:pt>
                <c:pt idx="16">
                  <c:v>45.99879393942183</c:v>
                </c:pt>
                <c:pt idx="17">
                  <c:v>43.951169941819657</c:v>
                </c:pt>
                <c:pt idx="18">
                  <c:v>42.132824090275051</c:v>
                </c:pt>
                <c:pt idx="19">
                  <c:v>40.503571172867375</c:v>
                </c:pt>
                <c:pt idx="20">
                  <c:v>39.032062932133734</c:v>
                </c:pt>
                <c:pt idx="21">
                  <c:v>37.693501803675346</c:v>
                </c:pt>
                <c:pt idx="22">
                  <c:v>36.468028944108454</c:v>
                </c:pt>
                <c:pt idx="23">
                  <c:v>35.339565314739026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3204-E043-85D8-5B0A681A8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0.0%;[Red]\(0.0%\)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Доход</c:v>
          </c:tx>
          <c:spPr>
            <a:solidFill>
              <a:srgbClr val="F52B23"/>
            </a:solidFill>
          </c:spPr>
          <c:invertIfNegative val="1"/>
          <c:cat>
            <c:strRef>
              <c:f>'P&amp;L'!$B$4:$Y$4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'P&amp;L'!$B$9:$Y$9</c:f>
              <c:numCache>
                <c:formatCode>#,##0" ₽";[Red]\(#,##0") ₽";\-</c:formatCode>
                <c:ptCount val="24"/>
                <c:pt idx="0">
                  <c:v>322071.75</c:v>
                </c:pt>
                <c:pt idx="1">
                  <c:v>657026.37</c:v>
                </c:pt>
                <c:pt idx="2">
                  <c:v>1005765.6609000001</c:v>
                </c:pt>
                <c:pt idx="3">
                  <c:v>1595272.3300800002</c:v>
                </c:pt>
                <c:pt idx="4">
                  <c:v>2424937.5910702799</c:v>
                </c:pt>
                <c:pt idx="5">
                  <c:v>3494940.4727337672</c:v>
                </c:pt>
                <c:pt idx="6">
                  <c:v>4806252.5838262038</c:v>
                </c:pt>
                <c:pt idx="7">
                  <c:v>6360645.3122207737</c:v>
                </c:pt>
                <c:pt idx="8">
                  <c:v>8160699.4969986435</c:v>
                </c:pt>
                <c:pt idx="9">
                  <c:v>10209817.619301146</c:v>
                </c:pt>
                <c:pt idx="10">
                  <c:v>12512238.565725038</c:v>
                </c:pt>
                <c:pt idx="11">
                  <c:v>15073055.026144348</c:v>
                </c:pt>
                <c:pt idx="12">
                  <c:v>17876835.004331887</c:v>
                </c:pt>
                <c:pt idx="13">
                  <c:v>20929050.979169667</c:v>
                </c:pt>
                <c:pt idx="14">
                  <c:v>24236003.289713722</c:v>
                </c:pt>
                <c:pt idx="15">
                  <c:v>27789825.576366037</c:v>
                </c:pt>
                <c:pt idx="16">
                  <c:v>31583259.912971877</c:v>
                </c:pt>
                <c:pt idx="17">
                  <c:v>35609630.08960937</c:v>
                </c:pt>
                <c:pt idx="18">
                  <c:v>39862816.354414836</c:v>
                </c:pt>
                <c:pt idx="19">
                  <c:v>44337231.544003695</c:v>
                </c:pt>
                <c:pt idx="20">
                  <c:v>49027798.53564243</c:v>
                </c:pt>
                <c:pt idx="21">
                  <c:v>53929928.9577443</c:v>
                </c:pt>
                <c:pt idx="22">
                  <c:v>59039503.098509632</c:v>
                </c:pt>
                <c:pt idx="23">
                  <c:v>64352850.955619335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D33A-2D47-A4BD-94E56767D163}"/>
            </c:ext>
          </c:extLst>
        </c:ser>
        <c:ser>
          <c:idx val="1"/>
          <c:order val="1"/>
          <c:tx>
            <c:v>OPEX</c:v>
          </c:tx>
          <c:spPr>
            <a:solidFill>
              <a:srgbClr val="17365D"/>
            </a:solidFill>
          </c:spPr>
          <c:invertIfNegative val="1"/>
          <c:cat>
            <c:strRef>
              <c:f>'P&amp;L'!$B$4:$Y$4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'P&amp;L'!$B$19:$Y$19</c:f>
              <c:numCache>
                <c:formatCode>#,##0" ₽";[Red]\(#,##0") ₽";\-</c:formatCode>
                <c:ptCount val="24"/>
                <c:pt idx="0">
                  <c:v>2324865.0285107363</c:v>
                </c:pt>
                <c:pt idx="1">
                  <c:v>2398043.6555160573</c:v>
                </c:pt>
                <c:pt idx="2">
                  <c:v>2471236.9406324578</c:v>
                </c:pt>
                <c:pt idx="3">
                  <c:v>2544812.9886667067</c:v>
                </c:pt>
                <c:pt idx="4">
                  <c:v>2619135.7422949891</c:v>
                </c:pt>
                <c:pt idx="5">
                  <c:v>2694566.9994429909</c:v>
                </c:pt>
                <c:pt idx="6">
                  <c:v>3371468.388264067</c:v>
                </c:pt>
                <c:pt idx="7">
                  <c:v>3450203.3114851615</c:v>
                </c:pt>
                <c:pt idx="8">
                  <c:v>3531138.8715626067</c:v>
                </c:pt>
                <c:pt idx="9">
                  <c:v>3614647.787833998</c:v>
                </c:pt>
                <c:pt idx="10">
                  <c:v>3701110.3166655679</c:v>
                </c:pt>
                <c:pt idx="11">
                  <c:v>3790916.1854752614</c:v>
                </c:pt>
                <c:pt idx="12">
                  <c:v>7568650.7390724318</c:v>
                </c:pt>
                <c:pt idx="13">
                  <c:v>7636480.3789910488</c:v>
                </c:pt>
                <c:pt idx="14">
                  <c:v>7702575.287736157</c:v>
                </c:pt>
                <c:pt idx="15">
                  <c:v>7767153.7665916085</c:v>
                </c:pt>
                <c:pt idx="16">
                  <c:v>7830419.2792188246</c:v>
                </c:pt>
                <c:pt idx="17">
                  <c:v>7892561.6724080695</c:v>
                </c:pt>
                <c:pt idx="18">
                  <c:v>7953758.3016091855</c:v>
                </c:pt>
                <c:pt idx="19">
                  <c:v>8014175.068840622</c:v>
                </c:pt>
                <c:pt idx="20">
                  <c:v>8073967.3799712025</c:v>
                </c:pt>
                <c:pt idx="21">
                  <c:v>8133281.0278129205</c:v>
                </c:pt>
                <c:pt idx="22">
                  <c:v>8192253.0069513116</c:v>
                </c:pt>
                <c:pt idx="23">
                  <c:v>8251012.265769003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D33A-2D47-A4BD-94E56767D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EBITDA</c:v>
          </c:tx>
          <c:spPr>
            <a:solidFill>
              <a:srgbClr val="F52B23"/>
            </a:solidFill>
          </c:spPr>
          <c:invertIfNegative val="1"/>
          <c:cat>
            <c:strRef>
              <c:f>'P&amp;L'!$B$4:$Y$4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'P&amp;L'!$B$20:$Y$20</c:f>
              <c:numCache>
                <c:formatCode>#,##0" ₽";[Red]\(#,##0") ₽";\-</c:formatCode>
                <c:ptCount val="24"/>
                <c:pt idx="0">
                  <c:v>-2002793.2785107363</c:v>
                </c:pt>
                <c:pt idx="1">
                  <c:v>-1741017.2855160572</c:v>
                </c:pt>
                <c:pt idx="2">
                  <c:v>-1465471.2797324578</c:v>
                </c:pt>
                <c:pt idx="3">
                  <c:v>-949540.6585867065</c:v>
                </c:pt>
                <c:pt idx="4">
                  <c:v>-194198.15122470912</c:v>
                </c:pt>
                <c:pt idx="5">
                  <c:v>800373.47329077637</c:v>
                </c:pt>
                <c:pt idx="6">
                  <c:v>1434784.1955621368</c:v>
                </c:pt>
                <c:pt idx="7">
                  <c:v>2910442.0007356121</c:v>
                </c:pt>
                <c:pt idx="8">
                  <c:v>4629560.6254360368</c:v>
                </c:pt>
                <c:pt idx="9">
                  <c:v>6595169.8314671479</c:v>
                </c:pt>
                <c:pt idx="10">
                  <c:v>8811128.2490594704</c:v>
                </c:pt>
                <c:pt idx="11">
                  <c:v>11282138.840669086</c:v>
                </c:pt>
                <c:pt idx="12">
                  <c:v>10308184.265259456</c:v>
                </c:pt>
                <c:pt idx="13">
                  <c:v>13292570.600178618</c:v>
                </c:pt>
                <c:pt idx="14">
                  <c:v>16533428.001977565</c:v>
                </c:pt>
                <c:pt idx="15">
                  <c:v>20022671.809774429</c:v>
                </c:pt>
                <c:pt idx="16">
                  <c:v>23752840.633753054</c:v>
                </c:pt>
                <c:pt idx="17">
                  <c:v>27717068.417201299</c:v>
                </c:pt>
                <c:pt idx="18">
                  <c:v>31909058.052805651</c:v>
                </c:pt>
                <c:pt idx="19">
                  <c:v>36323056.475163072</c:v>
                </c:pt>
                <c:pt idx="20">
                  <c:v>40953831.155671224</c:v>
                </c:pt>
                <c:pt idx="21">
                  <c:v>45796647.92993138</c:v>
                </c:pt>
                <c:pt idx="22">
                  <c:v>50847250.091558322</c:v>
                </c:pt>
                <c:pt idx="23">
                  <c:v>56101838.68985033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72B4-8F4E-8F27-687483568FDE}"/>
            </c:ext>
          </c:extLst>
        </c:ser>
        <c:ser>
          <c:idx val="1"/>
          <c:order val="1"/>
          <c:tx>
            <c:v>Чистая прибыль</c:v>
          </c:tx>
          <c:spPr>
            <a:solidFill>
              <a:srgbClr val="17365D"/>
            </a:solidFill>
          </c:spPr>
          <c:invertIfNegative val="1"/>
          <c:cat>
            <c:strRef>
              <c:f>'P&amp;L'!$B$4:$Y$4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'P&amp;L'!$B$25:$Y$25</c:f>
              <c:numCache>
                <c:formatCode>#,##0" ₽";[Red]\(#,##0") ₽";\-</c:formatCode>
                <c:ptCount val="24"/>
                <c:pt idx="0">
                  <c:v>-2336126.6118440698</c:v>
                </c:pt>
                <c:pt idx="1">
                  <c:v>-2074350.6188493904</c:v>
                </c:pt>
                <c:pt idx="2">
                  <c:v>-1798804.6130657911</c:v>
                </c:pt>
                <c:pt idx="3">
                  <c:v>-1282873.9919200398</c:v>
                </c:pt>
                <c:pt idx="4">
                  <c:v>-527531.48455804237</c:v>
                </c:pt>
                <c:pt idx="5">
                  <c:v>373632.11196595442</c:v>
                </c:pt>
                <c:pt idx="6">
                  <c:v>881160.68978304288</c:v>
                </c:pt>
                <c:pt idx="7">
                  <c:v>2061686.9339218228</c:v>
                </c:pt>
                <c:pt idx="8">
                  <c:v>3436981.8336821632</c:v>
                </c:pt>
                <c:pt idx="9">
                  <c:v>5009469.1985070519</c:v>
                </c:pt>
                <c:pt idx="10">
                  <c:v>6782235.9325809088</c:v>
                </c:pt>
                <c:pt idx="11">
                  <c:v>8759044.4058686011</c:v>
                </c:pt>
                <c:pt idx="12">
                  <c:v>7979880.7455408974</c:v>
                </c:pt>
                <c:pt idx="13">
                  <c:v>10367389.813476227</c:v>
                </c:pt>
                <c:pt idx="14">
                  <c:v>12960075.734915385</c:v>
                </c:pt>
                <c:pt idx="15">
                  <c:v>15751470.781152878</c:v>
                </c:pt>
                <c:pt idx="16">
                  <c:v>18735605.840335779</c:v>
                </c:pt>
                <c:pt idx="17">
                  <c:v>21906988.067094374</c:v>
                </c:pt>
                <c:pt idx="18">
                  <c:v>25260579.775577854</c:v>
                </c:pt>
                <c:pt idx="19">
                  <c:v>28791778.513463788</c:v>
                </c:pt>
                <c:pt idx="20">
                  <c:v>32496398.257870309</c:v>
                </c:pt>
                <c:pt idx="21">
                  <c:v>36370651.677278437</c:v>
                </c:pt>
                <c:pt idx="22">
                  <c:v>40411133.406579986</c:v>
                </c:pt>
                <c:pt idx="23">
                  <c:v>44614804.285213597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72B4-8F4E-8F27-687483568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FCF</c:v>
          </c:tx>
          <c:spPr>
            <a:solidFill>
              <a:srgbClr val="F52B23"/>
            </a:solidFill>
          </c:spPr>
          <c:invertIfNegative val="1"/>
          <c:cat>
            <c:strRef>
              <c:f>'Cash Flow'!$B$4:$Y$4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'Cash Flow'!$B$19:$Y$19</c:f>
              <c:numCache>
                <c:formatCode>#,##0" ₽";[Red]\(#,##0") ₽";\-</c:formatCode>
                <c:ptCount val="24"/>
                <c:pt idx="0">
                  <c:v>-10002793.278510736</c:v>
                </c:pt>
                <c:pt idx="1">
                  <c:v>-1741017.2855160572</c:v>
                </c:pt>
                <c:pt idx="2">
                  <c:v>-1465471.2797324578</c:v>
                </c:pt>
                <c:pt idx="3">
                  <c:v>-949540.6585867065</c:v>
                </c:pt>
                <c:pt idx="4">
                  <c:v>-194198.15122470906</c:v>
                </c:pt>
                <c:pt idx="5">
                  <c:v>706965.44529928779</c:v>
                </c:pt>
                <c:pt idx="6">
                  <c:v>1214494.0231163763</c:v>
                </c:pt>
                <c:pt idx="7">
                  <c:v>2395020.2672551563</c:v>
                </c:pt>
                <c:pt idx="8">
                  <c:v>3770315.1670154966</c:v>
                </c:pt>
                <c:pt idx="9">
                  <c:v>5342802.5318403849</c:v>
                </c:pt>
                <c:pt idx="10">
                  <c:v>7115569.2659142418</c:v>
                </c:pt>
                <c:pt idx="11">
                  <c:v>9092377.739201935</c:v>
                </c:pt>
                <c:pt idx="12">
                  <c:v>8313214.0788742304</c:v>
                </c:pt>
                <c:pt idx="13">
                  <c:v>10700723.146809561</c:v>
                </c:pt>
                <c:pt idx="14">
                  <c:v>13293409.068248719</c:v>
                </c:pt>
                <c:pt idx="15">
                  <c:v>16084804.114486212</c:v>
                </c:pt>
                <c:pt idx="16">
                  <c:v>19068939.173669111</c:v>
                </c:pt>
                <c:pt idx="17">
                  <c:v>22240321.400427707</c:v>
                </c:pt>
                <c:pt idx="18">
                  <c:v>25593913.108911186</c:v>
                </c:pt>
                <c:pt idx="19">
                  <c:v>29125111.84679712</c:v>
                </c:pt>
                <c:pt idx="20">
                  <c:v>32829731.591203641</c:v>
                </c:pt>
                <c:pt idx="21">
                  <c:v>36703985.010611773</c:v>
                </c:pt>
                <c:pt idx="22">
                  <c:v>40744466.739913322</c:v>
                </c:pt>
                <c:pt idx="23">
                  <c:v>44948137.618546933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038C-9648-A579-8CC949A14204}"/>
            </c:ext>
          </c:extLst>
        </c:ser>
        <c:ser>
          <c:idx val="1"/>
          <c:order val="1"/>
          <c:tx>
            <c:v>Накопленный поток</c:v>
          </c:tx>
          <c:spPr>
            <a:solidFill>
              <a:srgbClr val="17365D"/>
            </a:solidFill>
          </c:spPr>
          <c:invertIfNegative val="1"/>
          <c:cat>
            <c:strRef>
              <c:f>'Cash Flow'!$B$4:$Y$4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'Cash Flow'!$B$20:$Y$20</c:f>
              <c:numCache>
                <c:formatCode>#,##0" ₽";[Red]\(#,##0") ₽";\-</c:formatCode>
                <c:ptCount val="24"/>
                <c:pt idx="0">
                  <c:v>-10002793.278510736</c:v>
                </c:pt>
                <c:pt idx="1">
                  <c:v>-11743810.564026793</c:v>
                </c:pt>
                <c:pt idx="2">
                  <c:v>-13209281.843759252</c:v>
                </c:pt>
                <c:pt idx="3">
                  <c:v>-14158822.502345959</c:v>
                </c:pt>
                <c:pt idx="4">
                  <c:v>-14353020.653570667</c:v>
                </c:pt>
                <c:pt idx="5">
                  <c:v>-13646055.208271379</c:v>
                </c:pt>
                <c:pt idx="6">
                  <c:v>-12431561.185155002</c:v>
                </c:pt>
                <c:pt idx="7">
                  <c:v>-10036540.917899847</c:v>
                </c:pt>
                <c:pt idx="8">
                  <c:v>-6266225.7508843504</c:v>
                </c:pt>
                <c:pt idx="9">
                  <c:v>-923423.21904396545</c:v>
                </c:pt>
                <c:pt idx="10">
                  <c:v>6192146.0468702763</c:v>
                </c:pt>
                <c:pt idx="11">
                  <c:v>15284523.786072211</c:v>
                </c:pt>
                <c:pt idx="12">
                  <c:v>23597737.86494644</c:v>
                </c:pt>
                <c:pt idx="13">
                  <c:v>34298461.011756003</c:v>
                </c:pt>
                <c:pt idx="14">
                  <c:v>47591870.080004722</c:v>
                </c:pt>
                <c:pt idx="15">
                  <c:v>63676674.194490932</c:v>
                </c:pt>
                <c:pt idx="16">
                  <c:v>82745613.368160039</c:v>
                </c:pt>
                <c:pt idx="17">
                  <c:v>104985934.76858774</c:v>
                </c:pt>
                <c:pt idx="18">
                  <c:v>130579847.87749892</c:v>
                </c:pt>
                <c:pt idx="19">
                  <c:v>159704959.72429603</c:v>
                </c:pt>
                <c:pt idx="20">
                  <c:v>192534691.31549966</c:v>
                </c:pt>
                <c:pt idx="21">
                  <c:v>229238676.32611144</c:v>
                </c:pt>
                <c:pt idx="22">
                  <c:v>269983143.06602478</c:v>
                </c:pt>
                <c:pt idx="23">
                  <c:v>314931280.68457174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038C-9648-A579-8CC949A14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PV FCF</c:v>
          </c:tx>
          <c:spPr>
            <a:solidFill>
              <a:srgbClr val="F52B23"/>
            </a:solidFill>
          </c:spPr>
          <c:invertIfNegative val="1"/>
          <c:cat>
            <c:strRef>
              <c:f>'Cash Flow'!$B$4:$Y$4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'Cash Flow'!$B$22:$Y$22</c:f>
              <c:numCache>
                <c:formatCode>#,##0" ₽";[Red]\(#,##0") ₽";\-</c:formatCode>
                <c:ptCount val="24"/>
                <c:pt idx="0">
                  <c:v>-9851964.9123211689</c:v>
                </c:pt>
                <c:pt idx="1">
                  <c:v>-1688908.8391536956</c:v>
                </c:pt>
                <c:pt idx="2">
                  <c:v>-1400173.9714028861</c:v>
                </c:pt>
                <c:pt idx="3">
                  <c:v>-893551.97061751073</c:v>
                </c:pt>
                <c:pt idx="4">
                  <c:v>-179991.87671773622</c:v>
                </c:pt>
                <c:pt idx="5">
                  <c:v>645368.2029451743</c:v>
                </c:pt>
                <c:pt idx="6">
                  <c:v>1091958.973665813</c:v>
                </c:pt>
                <c:pt idx="7">
                  <c:v>2120907.3419705993</c:v>
                </c:pt>
                <c:pt idx="8">
                  <c:v>3288453.6169845285</c:v>
                </c:pt>
                <c:pt idx="9">
                  <c:v>4589704.7773234705</c:v>
                </c:pt>
                <c:pt idx="10">
                  <c:v>6020420.7197329579</c:v>
                </c:pt>
                <c:pt idx="11">
                  <c:v>7576981.4493349465</c:v>
                </c:pt>
                <c:pt idx="12">
                  <c:v>6823218.5361691583</c:v>
                </c:pt>
                <c:pt idx="13">
                  <c:v>8650376.44864925</c:v>
                </c:pt>
                <c:pt idx="14">
                  <c:v>10584243.231735339</c:v>
                </c:pt>
                <c:pt idx="15">
                  <c:v>12613650.157687778</c:v>
                </c:pt>
                <c:pt idx="16">
                  <c:v>14728316.272321071</c:v>
                </c:pt>
                <c:pt idx="17">
                  <c:v>16918785.718304362</c:v>
                </c:pt>
                <c:pt idx="18">
                  <c:v>19176369.307267647</c:v>
                </c:pt>
                <c:pt idx="19">
                  <c:v>21493090.057222877</c:v>
                </c:pt>
                <c:pt idx="20">
                  <c:v>23861632.430670023</c:v>
                </c:pt>
                <c:pt idx="21">
                  <c:v>26275295.026357941</c:v>
                </c:pt>
                <c:pt idx="22">
                  <c:v>28727946.494093962</c:v>
                </c:pt>
                <c:pt idx="23">
                  <c:v>31213984.457324259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AC78-3848-9C93-81D37FDD7097}"/>
            </c:ext>
          </c:extLst>
        </c:ser>
        <c:ser>
          <c:idx val="1"/>
          <c:order val="1"/>
          <c:tx>
            <c:v>Накопленный PV FCF</c:v>
          </c:tx>
          <c:spPr>
            <a:solidFill>
              <a:srgbClr val="17365D"/>
            </a:solidFill>
          </c:spPr>
          <c:invertIfNegative val="1"/>
          <c:cat>
            <c:strRef>
              <c:f>'Cash Flow'!$B$4:$Y$4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'Cash Flow'!$B$23:$Y$23</c:f>
              <c:numCache>
                <c:formatCode>#,##0" ₽";[Red]\(#,##0") ₽";\-</c:formatCode>
                <c:ptCount val="24"/>
                <c:pt idx="0">
                  <c:v>-9851964.9123211689</c:v>
                </c:pt>
                <c:pt idx="1">
                  <c:v>-11540873.751474865</c:v>
                </c:pt>
                <c:pt idx="2">
                  <c:v>-12941047.72287775</c:v>
                </c:pt>
                <c:pt idx="3">
                  <c:v>-13834599.693495261</c:v>
                </c:pt>
                <c:pt idx="4">
                  <c:v>-14014591.570212997</c:v>
                </c:pt>
                <c:pt idx="5">
                  <c:v>-13369223.367267823</c:v>
                </c:pt>
                <c:pt idx="6">
                  <c:v>-12277264.39360201</c:v>
                </c:pt>
                <c:pt idx="7">
                  <c:v>-10156357.05163141</c:v>
                </c:pt>
                <c:pt idx="8">
                  <c:v>-6867903.4346468812</c:v>
                </c:pt>
                <c:pt idx="9">
                  <c:v>-2278198.6573234107</c:v>
                </c:pt>
                <c:pt idx="10">
                  <c:v>3742222.0624095472</c:v>
                </c:pt>
                <c:pt idx="11">
                  <c:v>11319203.511744494</c:v>
                </c:pt>
                <c:pt idx="12">
                  <c:v>18142422.047913652</c:v>
                </c:pt>
                <c:pt idx="13">
                  <c:v>26792798.496562902</c:v>
                </c:pt>
                <c:pt idx="14">
                  <c:v>37377041.728298239</c:v>
                </c:pt>
                <c:pt idx="15">
                  <c:v>49990691.885986015</c:v>
                </c:pt>
                <c:pt idx="16">
                  <c:v>64719008.15830709</c:v>
                </c:pt>
                <c:pt idx="17">
                  <c:v>81637793.876611456</c:v>
                </c:pt>
                <c:pt idx="18">
                  <c:v>100814163.18387911</c:v>
                </c:pt>
                <c:pt idx="19">
                  <c:v>122307253.24110198</c:v>
                </c:pt>
                <c:pt idx="20">
                  <c:v>146168885.671772</c:v>
                </c:pt>
                <c:pt idx="21">
                  <c:v>172444180.69812995</c:v>
                </c:pt>
                <c:pt idx="22">
                  <c:v>201172127.19222391</c:v>
                </c:pt>
                <c:pt idx="23">
                  <c:v>232386111.64954817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AC78-3848-9C93-81D37FDD7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FCF</c:v>
          </c:tx>
          <c:spPr>
            <a:solidFill>
              <a:srgbClr val="F52B23"/>
            </a:solidFill>
          </c:spPr>
          <c:invertIfNegative val="1"/>
          <c:cat>
            <c:strRef>
              <c:f>DCF!$B$4:$Y$4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DCF!$B$7:$Y$7</c:f>
              <c:numCache>
                <c:formatCode>#,##0" ₽";[Red]\(#,##0") ₽";\-</c:formatCode>
                <c:ptCount val="24"/>
                <c:pt idx="0">
                  <c:v>-10002793.278510736</c:v>
                </c:pt>
                <c:pt idx="1">
                  <c:v>-1741017.2855160572</c:v>
                </c:pt>
                <c:pt idx="2">
                  <c:v>-1465471.2797324578</c:v>
                </c:pt>
                <c:pt idx="3">
                  <c:v>-949540.6585867065</c:v>
                </c:pt>
                <c:pt idx="4">
                  <c:v>-194198.15122470906</c:v>
                </c:pt>
                <c:pt idx="5">
                  <c:v>706965.44529928779</c:v>
                </c:pt>
                <c:pt idx="6">
                  <c:v>1214494.0231163763</c:v>
                </c:pt>
                <c:pt idx="7">
                  <c:v>2395020.2672551563</c:v>
                </c:pt>
                <c:pt idx="8">
                  <c:v>3770315.1670154966</c:v>
                </c:pt>
                <c:pt idx="9">
                  <c:v>5342802.5318403849</c:v>
                </c:pt>
                <c:pt idx="10">
                  <c:v>7115569.2659142418</c:v>
                </c:pt>
                <c:pt idx="11">
                  <c:v>9092377.739201935</c:v>
                </c:pt>
                <c:pt idx="12">
                  <c:v>8313214.0788742304</c:v>
                </c:pt>
                <c:pt idx="13">
                  <c:v>10700723.146809561</c:v>
                </c:pt>
                <c:pt idx="14">
                  <c:v>13293409.068248719</c:v>
                </c:pt>
                <c:pt idx="15">
                  <c:v>16084804.114486212</c:v>
                </c:pt>
                <c:pt idx="16">
                  <c:v>19068939.173669111</c:v>
                </c:pt>
                <c:pt idx="17">
                  <c:v>22240321.400427707</c:v>
                </c:pt>
                <c:pt idx="18">
                  <c:v>25593913.108911186</c:v>
                </c:pt>
                <c:pt idx="19">
                  <c:v>29125111.84679712</c:v>
                </c:pt>
                <c:pt idx="20">
                  <c:v>32829731.591203641</c:v>
                </c:pt>
                <c:pt idx="21">
                  <c:v>36703985.010611773</c:v>
                </c:pt>
                <c:pt idx="22">
                  <c:v>40744466.739913322</c:v>
                </c:pt>
                <c:pt idx="23">
                  <c:v>44948137.618546933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A1E8-C64C-9A5E-FCDC320F44FB}"/>
            </c:ext>
          </c:extLst>
        </c:ser>
        <c:ser>
          <c:idx val="1"/>
          <c:order val="1"/>
          <c:tx>
            <c:v>PV FCF</c:v>
          </c:tx>
          <c:spPr>
            <a:solidFill>
              <a:srgbClr val="17365D"/>
            </a:solidFill>
          </c:spPr>
          <c:invertIfNegative val="1"/>
          <c:cat>
            <c:strRef>
              <c:f>DCF!$B$4:$Y$4</c:f>
              <c:strCache>
                <c:ptCount val="24"/>
                <c:pt idx="0">
                  <c:v>М1</c:v>
                </c:pt>
                <c:pt idx="1">
                  <c:v>М2</c:v>
                </c:pt>
                <c:pt idx="2">
                  <c:v>М3</c:v>
                </c:pt>
                <c:pt idx="3">
                  <c:v>М4</c:v>
                </c:pt>
                <c:pt idx="4">
                  <c:v>М5</c:v>
                </c:pt>
                <c:pt idx="5">
                  <c:v>М6</c:v>
                </c:pt>
                <c:pt idx="6">
                  <c:v>М7</c:v>
                </c:pt>
                <c:pt idx="7">
                  <c:v>М8</c:v>
                </c:pt>
                <c:pt idx="8">
                  <c:v>М9</c:v>
                </c:pt>
                <c:pt idx="9">
                  <c:v>М10</c:v>
                </c:pt>
                <c:pt idx="10">
                  <c:v>М11</c:v>
                </c:pt>
                <c:pt idx="11">
                  <c:v>М12</c:v>
                </c:pt>
                <c:pt idx="12">
                  <c:v>М13</c:v>
                </c:pt>
                <c:pt idx="13">
                  <c:v>М14</c:v>
                </c:pt>
                <c:pt idx="14">
                  <c:v>М15</c:v>
                </c:pt>
                <c:pt idx="15">
                  <c:v>М16</c:v>
                </c:pt>
                <c:pt idx="16">
                  <c:v>М17</c:v>
                </c:pt>
                <c:pt idx="17">
                  <c:v>М18</c:v>
                </c:pt>
                <c:pt idx="18">
                  <c:v>М19</c:v>
                </c:pt>
                <c:pt idx="19">
                  <c:v>М20</c:v>
                </c:pt>
                <c:pt idx="20">
                  <c:v>М21</c:v>
                </c:pt>
                <c:pt idx="21">
                  <c:v>М22</c:v>
                </c:pt>
                <c:pt idx="22">
                  <c:v>М23</c:v>
                </c:pt>
                <c:pt idx="23">
                  <c:v>М24</c:v>
                </c:pt>
              </c:strCache>
            </c:strRef>
          </c:cat>
          <c:val>
            <c:numRef>
              <c:f>DCF!$B$9:$Y$9</c:f>
              <c:numCache>
                <c:formatCode>#,##0" ₽";[Red]\(#,##0") ₽";\-</c:formatCode>
                <c:ptCount val="24"/>
                <c:pt idx="0">
                  <c:v>-9851964.9123211689</c:v>
                </c:pt>
                <c:pt idx="1">
                  <c:v>-1688908.8391536956</c:v>
                </c:pt>
                <c:pt idx="2">
                  <c:v>-1400173.9714028861</c:v>
                </c:pt>
                <c:pt idx="3">
                  <c:v>-893551.97061751073</c:v>
                </c:pt>
                <c:pt idx="4">
                  <c:v>-179991.87671773622</c:v>
                </c:pt>
                <c:pt idx="5">
                  <c:v>645368.2029451743</c:v>
                </c:pt>
                <c:pt idx="6">
                  <c:v>1091958.973665813</c:v>
                </c:pt>
                <c:pt idx="7">
                  <c:v>2120907.3419705993</c:v>
                </c:pt>
                <c:pt idx="8">
                  <c:v>3288453.6169845285</c:v>
                </c:pt>
                <c:pt idx="9">
                  <c:v>4589704.7773234705</c:v>
                </c:pt>
                <c:pt idx="10">
                  <c:v>6020420.7197329579</c:v>
                </c:pt>
                <c:pt idx="11">
                  <c:v>7576981.4493349465</c:v>
                </c:pt>
                <c:pt idx="12">
                  <c:v>6823218.5361691583</c:v>
                </c:pt>
                <c:pt idx="13">
                  <c:v>8650376.44864925</c:v>
                </c:pt>
                <c:pt idx="14">
                  <c:v>10584243.231735339</c:v>
                </c:pt>
                <c:pt idx="15">
                  <c:v>12613650.157687778</c:v>
                </c:pt>
                <c:pt idx="16">
                  <c:v>14728316.272321071</c:v>
                </c:pt>
                <c:pt idx="17">
                  <c:v>16918785.718304362</c:v>
                </c:pt>
                <c:pt idx="18">
                  <c:v>19176369.307267647</c:v>
                </c:pt>
                <c:pt idx="19">
                  <c:v>21493090.057222877</c:v>
                </c:pt>
                <c:pt idx="20">
                  <c:v>23861632.430670023</c:v>
                </c:pt>
                <c:pt idx="21">
                  <c:v>26275295.026357941</c:v>
                </c:pt>
                <c:pt idx="22">
                  <c:v>28727946.494093962</c:v>
                </c:pt>
                <c:pt idx="23">
                  <c:v>31213984.457324259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A1E8-C64C-9A5E-FCDC320F4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Оценка</c:v>
          </c:tx>
          <c:spPr>
            <a:solidFill>
              <a:srgbClr val="F52B23"/>
            </a:solidFill>
          </c:spPr>
          <c:invertIfNegative val="1"/>
          <c:cat>
            <c:strRef>
              <c:f>DCF!$A$20:$A$22</c:f>
              <c:strCache>
                <c:ptCount val="3"/>
                <c:pt idx="0">
                  <c:v>PV of Forecast FCF</c:v>
                </c:pt>
                <c:pt idx="1">
                  <c:v>PV of Terminal Value</c:v>
                </c:pt>
                <c:pt idx="2">
                  <c:v>Enterprise Value</c:v>
                </c:pt>
              </c:strCache>
            </c:strRef>
          </c:cat>
          <c:val>
            <c:numRef>
              <c:f>DCF!$B$20:$B$22</c:f>
              <c:numCache>
                <c:formatCode>#,##0" ₽";[Red]\(#,##0") ₽";\-</c:formatCode>
                <c:ptCount val="3"/>
                <c:pt idx="0">
                  <c:v>232386111.64954817</c:v>
                </c:pt>
                <c:pt idx="1">
                  <c:v>1456616179.3677056</c:v>
                </c:pt>
                <c:pt idx="2">
                  <c:v>1689002291.0172539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EBEA-3B48-B63E-AA7CB2D080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Пессимистичный</c:v>
          </c:tx>
          <c:spPr>
            <a:solidFill>
              <a:srgbClr val="F52B23"/>
            </a:solidFill>
          </c:spPr>
          <c:invertIfNegative val="1"/>
          <c:cat>
            <c:strRef>
              <c:f>Scenarios!$A$16:$A$17</c:f>
              <c:strCache>
                <c:ptCount val="2"/>
                <c:pt idx="0">
                  <c:v>Banking Revenue — Год 1</c:v>
                </c:pt>
                <c:pt idx="1">
                  <c:v>Banking Revenue — Год 2</c:v>
                </c:pt>
              </c:strCache>
            </c:strRef>
          </c:cat>
          <c:val>
            <c:numRef>
              <c:f>Scenarios!$B$16:$B$17</c:f>
              <c:numCache>
                <c:formatCode>#,##0;[Red]\(#,##0\);\-</c:formatCode>
                <c:ptCount val="2"/>
                <c:pt idx="0">
                  <c:v>46635905.945300132</c:v>
                </c:pt>
                <c:pt idx="1">
                  <c:v>328002314.00866771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C972-9E4F-B20F-BA74FA93D08D}"/>
            </c:ext>
          </c:extLst>
        </c:ser>
        <c:ser>
          <c:idx val="1"/>
          <c:order val="1"/>
          <c:tx>
            <c:v>Базовый</c:v>
          </c:tx>
          <c:spPr>
            <a:solidFill>
              <a:srgbClr val="17365D"/>
            </a:solidFill>
          </c:spPr>
          <c:invertIfNegative val="1"/>
          <c:cat>
            <c:strRef>
              <c:f>Scenarios!$A$16:$A$17</c:f>
              <c:strCache>
                <c:ptCount val="2"/>
                <c:pt idx="0">
                  <c:v>Banking Revenue — Год 1</c:v>
                </c:pt>
                <c:pt idx="1">
                  <c:v>Banking Revenue — Год 2</c:v>
                </c:pt>
              </c:strCache>
            </c:strRef>
          </c:cat>
          <c:val>
            <c:numRef>
              <c:f>Scenarios!$C$16:$C$17</c:f>
              <c:numCache>
                <c:formatCode>#,##0;[Red]\(#,##0\);\-</c:formatCode>
                <c:ptCount val="2"/>
                <c:pt idx="0">
                  <c:v>66622722.7790002</c:v>
                </c:pt>
                <c:pt idx="1">
                  <c:v>468574734.29809672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C972-9E4F-B20F-BA74FA93D08D}"/>
            </c:ext>
          </c:extLst>
        </c:ser>
        <c:ser>
          <c:idx val="2"/>
          <c:order val="2"/>
          <c:tx>
            <c:v>Оптимистичный</c:v>
          </c:tx>
          <c:spPr>
            <a:solidFill>
              <a:srgbClr val="8FFF00"/>
            </a:solidFill>
          </c:spPr>
          <c:invertIfNegative val="1"/>
          <c:cat>
            <c:strRef>
              <c:f>Scenarios!$A$16:$A$17</c:f>
              <c:strCache>
                <c:ptCount val="2"/>
                <c:pt idx="0">
                  <c:v>Banking Revenue — Год 1</c:v>
                </c:pt>
                <c:pt idx="1">
                  <c:v>Banking Revenue — Год 2</c:v>
                </c:pt>
              </c:strCache>
            </c:strRef>
          </c:cat>
          <c:val>
            <c:numRef>
              <c:f>Scenarios!$D$16:$D$17</c:f>
              <c:numCache>
                <c:formatCode>#,##0;[Red]\(#,##0\);\-</c:formatCode>
                <c:ptCount val="2"/>
                <c:pt idx="0">
                  <c:v>86609539.612700254</c:v>
                </c:pt>
                <c:pt idx="1">
                  <c:v>609147154.58752584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C972-9E4F-B20F-BA74FA93D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;[Red]\(#,##0\)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Пессимистичный</c:v>
          </c:tx>
          <c:spPr>
            <a:solidFill>
              <a:srgbClr val="F52B23"/>
            </a:solidFill>
          </c:spPr>
          <c:invertIfNegative val="1"/>
          <c:cat>
            <c:strRef>
              <c:f>Scenarios!$AE$3:$AE$4</c:f>
              <c:strCache>
                <c:ptCount val="2"/>
                <c:pt idx="0">
                  <c:v>EBITDA — Год 1</c:v>
                </c:pt>
                <c:pt idx="1">
                  <c:v>FCF — Год 1</c:v>
                </c:pt>
              </c:strCache>
            </c:strRef>
          </c:cat>
          <c:val>
            <c:numRef>
              <c:f>Scenarios!$AF$3:$AF$4</c:f>
              <c:numCache>
                <c:formatCode>General</c:formatCode>
                <c:ptCount val="2"/>
                <c:pt idx="0">
                  <c:v>6470661.9418159276</c:v>
                </c:pt>
                <c:pt idx="1">
                  <c:v>-5684895.6108942684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F079-1642-B228-A5CC57A8E1C2}"/>
            </c:ext>
          </c:extLst>
        </c:ser>
        <c:ser>
          <c:idx val="1"/>
          <c:order val="1"/>
          <c:tx>
            <c:v>Базовый</c:v>
          </c:tx>
          <c:spPr>
            <a:solidFill>
              <a:srgbClr val="17365D"/>
            </a:solidFill>
          </c:spPr>
          <c:invertIfNegative val="1"/>
          <c:cat>
            <c:strRef>
              <c:f>Scenarios!$AE$3:$AE$4</c:f>
              <c:strCache>
                <c:ptCount val="2"/>
                <c:pt idx="0">
                  <c:v>EBITDA — Год 1</c:v>
                </c:pt>
                <c:pt idx="1">
                  <c:v>FCF — Год 1</c:v>
                </c:pt>
              </c:strCache>
            </c:strRef>
          </c:cat>
          <c:val>
            <c:numRef>
              <c:f>Scenarios!$AG$3:$AG$4</c:f>
              <c:numCache>
                <c:formatCode>General</c:formatCode>
                <c:ptCount val="2"/>
                <c:pt idx="0">
                  <c:v>30110576.5626496</c:v>
                </c:pt>
                <c:pt idx="1">
                  <c:v>15284523.786072211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F079-1642-B228-A5CC57A8E1C2}"/>
            </c:ext>
          </c:extLst>
        </c:ser>
        <c:ser>
          <c:idx val="2"/>
          <c:order val="2"/>
          <c:tx>
            <c:v>Оптимистичный</c:v>
          </c:tx>
          <c:spPr>
            <a:solidFill>
              <a:srgbClr val="8FFF00"/>
            </a:solidFill>
          </c:spPr>
          <c:invertIfNegative val="1"/>
          <c:cat>
            <c:strRef>
              <c:f>Scenarios!$AE$3:$AE$4</c:f>
              <c:strCache>
                <c:ptCount val="2"/>
                <c:pt idx="0">
                  <c:v>EBITDA — Год 1</c:v>
                </c:pt>
                <c:pt idx="1">
                  <c:v>FCF — Год 1</c:v>
                </c:pt>
              </c:strCache>
            </c:strRef>
          </c:cat>
          <c:val>
            <c:numRef>
              <c:f>Scenarios!$AH$3:$AH$4</c:f>
              <c:numCache>
                <c:formatCode>General</c:formatCode>
                <c:ptCount val="2"/>
                <c:pt idx="0">
                  <c:v>53750491.183483273</c:v>
                </c:pt>
                <c:pt idx="1">
                  <c:v>35826477.045407422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F079-1642-B228-A5CC57A8E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Enterprise Value</c:v>
          </c:tx>
          <c:spPr>
            <a:solidFill>
              <a:srgbClr val="F52B23"/>
            </a:solidFill>
          </c:spPr>
          <c:invertIfNegative val="1"/>
          <c:cat>
            <c:strRef>
              <c:f>Scenarios!$B$15:$D$15</c:f>
              <c:strCache>
                <c:ptCount val="3"/>
                <c:pt idx="0">
                  <c:v>Пессимистичный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Scenarios!$B$26:$D$26</c:f>
              <c:numCache>
                <c:formatCode>#,##0;[Red]\(#,##0\);\-</c:formatCode>
                <c:ptCount val="3"/>
                <c:pt idx="0">
                  <c:v>873115430.9953531</c:v>
                </c:pt>
                <c:pt idx="1">
                  <c:v>1689002291.0172539</c:v>
                </c:pt>
                <c:pt idx="2">
                  <c:v>2748064250.4882193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6CC9-424E-A91A-575F7E74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;[Red]\(#,##0\)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Год 1</c:v>
          </c:tx>
          <c:spPr>
            <a:solidFill>
              <a:srgbClr val="F52B23"/>
            </a:solidFill>
          </c:spPr>
          <c:invertIfNegative val="1"/>
          <c:cat>
            <c:strRef>
              <c:f>Summary!$X$53:$X$57</c:f>
              <c:strCache>
                <c:ptCount val="5"/>
                <c:pt idx="0">
                  <c:v>Банковский доход</c:v>
                </c:pt>
                <c:pt idx="1">
                  <c:v>OPEX</c:v>
                </c:pt>
                <c:pt idx="2">
                  <c:v>EBITDA</c:v>
                </c:pt>
                <c:pt idx="3">
                  <c:v>Чистая прибыль</c:v>
                </c:pt>
                <c:pt idx="4">
                  <c:v>Free Cash Flow</c:v>
                </c:pt>
              </c:strCache>
            </c:strRef>
          </c:cat>
          <c:val>
            <c:numRef>
              <c:f>Summary!$Y$53:$Y$57</c:f>
              <c:numCache>
                <c:formatCode>0.0" млн ₽"</c:formatCode>
                <c:ptCount val="5"/>
                <c:pt idx="0">
                  <c:v>66.622722779000199</c:v>
                </c:pt>
                <c:pt idx="1">
                  <c:v>36.512146216350601</c:v>
                </c:pt>
                <c:pt idx="2">
                  <c:v>30.110576562649602</c:v>
                </c:pt>
                <c:pt idx="3">
                  <c:v>19.28452378607221</c:v>
                </c:pt>
                <c:pt idx="4">
                  <c:v>15.284523786072212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334F-2847-A07E-EF1A686E14E5}"/>
            </c:ext>
          </c:extLst>
        </c:ser>
        <c:ser>
          <c:idx val="1"/>
          <c:order val="1"/>
          <c:tx>
            <c:v>Год 2</c:v>
          </c:tx>
          <c:spPr>
            <a:solidFill>
              <a:srgbClr val="17365D"/>
            </a:solidFill>
          </c:spPr>
          <c:invertIfNegative val="1"/>
          <c:cat>
            <c:strRef>
              <c:f>Summary!$X$53:$X$57</c:f>
              <c:strCache>
                <c:ptCount val="5"/>
                <c:pt idx="0">
                  <c:v>Банковский доход</c:v>
                </c:pt>
                <c:pt idx="1">
                  <c:v>OPEX</c:v>
                </c:pt>
                <c:pt idx="2">
                  <c:v>EBITDA</c:v>
                </c:pt>
                <c:pt idx="3">
                  <c:v>Чистая прибыль</c:v>
                </c:pt>
                <c:pt idx="4">
                  <c:v>Free Cash Flow</c:v>
                </c:pt>
              </c:strCache>
            </c:strRef>
          </c:cat>
          <c:val>
            <c:numRef>
              <c:f>Summary!$Z$53:$Z$57</c:f>
              <c:numCache>
                <c:formatCode>0.0" млн ₽"</c:formatCode>
                <c:ptCount val="5"/>
                <c:pt idx="0">
                  <c:v>468.5747342980967</c:v>
                </c:pt>
                <c:pt idx="1">
                  <c:v>95.016288174972402</c:v>
                </c:pt>
                <c:pt idx="2">
                  <c:v>373.55844612312438</c:v>
                </c:pt>
                <c:pt idx="3">
                  <c:v>295.64675689849946</c:v>
                </c:pt>
                <c:pt idx="4">
                  <c:v>299.64675689849946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334F-2847-A07E-EF1A686E1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0.0&quot; млн ₽&quot;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Downside</c:v>
          </c:tx>
          <c:spPr>
            <a:solidFill>
              <a:srgbClr val="F52B23"/>
            </a:solidFill>
          </c:spPr>
          <c:invertIfNegative val="1"/>
          <c:cat>
            <c:strRef>
              <c:f>Summary!$F$17:$F$19</c:f>
              <c:strCache>
                <c:ptCount val="3"/>
                <c:pt idx="0">
                  <c:v>Revenue Год 1</c:v>
                </c:pt>
                <c:pt idx="1">
                  <c:v>EBITDA Год 1</c:v>
                </c:pt>
                <c:pt idx="2">
                  <c:v>FCF Год 1</c:v>
                </c:pt>
              </c:strCache>
            </c:strRef>
          </c:cat>
          <c:val>
            <c:numRef>
              <c:f>Summary!$G$17:$G$19</c:f>
              <c:numCache>
                <c:formatCode>#,##0" ₽";[Red]\(#,##0") ₽";\-</c:formatCode>
                <c:ptCount val="3"/>
                <c:pt idx="0">
                  <c:v>46635905.945300132</c:v>
                </c:pt>
                <c:pt idx="1">
                  <c:v>6470661.9418159276</c:v>
                </c:pt>
                <c:pt idx="2">
                  <c:v>-5684895.6108942684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08C2-A944-B44B-1C3C0DCC483D}"/>
            </c:ext>
          </c:extLst>
        </c:ser>
        <c:ser>
          <c:idx val="1"/>
          <c:order val="1"/>
          <c:tx>
            <c:v>Hybrid</c:v>
          </c:tx>
          <c:spPr>
            <a:solidFill>
              <a:srgbClr val="17365D"/>
            </a:solidFill>
          </c:spPr>
          <c:invertIfNegative val="1"/>
          <c:cat>
            <c:strRef>
              <c:f>Summary!$F$17:$F$19</c:f>
              <c:strCache>
                <c:ptCount val="3"/>
                <c:pt idx="0">
                  <c:v>Revenue Год 1</c:v>
                </c:pt>
                <c:pt idx="1">
                  <c:v>EBITDA Год 1</c:v>
                </c:pt>
                <c:pt idx="2">
                  <c:v>FCF Год 1</c:v>
                </c:pt>
              </c:strCache>
            </c:strRef>
          </c:cat>
          <c:val>
            <c:numRef>
              <c:f>Summary!$H$17:$H$19</c:f>
              <c:numCache>
                <c:formatCode>#,##0" ₽";[Red]\(#,##0") ₽";\-</c:formatCode>
                <c:ptCount val="3"/>
                <c:pt idx="0">
                  <c:v>66622722.7790002</c:v>
                </c:pt>
                <c:pt idx="1">
                  <c:v>30110576.5626496</c:v>
                </c:pt>
                <c:pt idx="2">
                  <c:v>15284523.786072211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08C2-A944-B44B-1C3C0DCC483D}"/>
            </c:ext>
          </c:extLst>
        </c:ser>
        <c:ser>
          <c:idx val="2"/>
          <c:order val="2"/>
          <c:tx>
            <c:v>Upside</c:v>
          </c:tx>
          <c:spPr>
            <a:solidFill>
              <a:srgbClr val="8FFF00"/>
            </a:solidFill>
          </c:spPr>
          <c:invertIfNegative val="1"/>
          <c:cat>
            <c:strRef>
              <c:f>Summary!$F$17:$F$19</c:f>
              <c:strCache>
                <c:ptCount val="3"/>
                <c:pt idx="0">
                  <c:v>Revenue Год 1</c:v>
                </c:pt>
                <c:pt idx="1">
                  <c:v>EBITDA Год 1</c:v>
                </c:pt>
                <c:pt idx="2">
                  <c:v>FCF Год 1</c:v>
                </c:pt>
              </c:strCache>
            </c:strRef>
          </c:cat>
          <c:val>
            <c:numRef>
              <c:f>Summary!$I$17:$I$19</c:f>
              <c:numCache>
                <c:formatCode>#,##0" ₽";[Red]\(#,##0") ₽";\-</c:formatCode>
                <c:ptCount val="3"/>
                <c:pt idx="0">
                  <c:v>86609539.612700254</c:v>
                </c:pt>
                <c:pt idx="1">
                  <c:v>53750491.183483273</c:v>
                </c:pt>
                <c:pt idx="2">
                  <c:v>35826477.045407422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08C2-A944-B44B-1C3C0DCC4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D0D0D0"/>
              </a:solidFill>
              <a:prstDash val="dash"/>
            </a:ln>
          </c:spPr>
        </c:majorGridlines>
        <c:numFmt formatCode="#,##0&quot; ₽&quot;;[Red]\(#,##0&quot;) ₽&quot;;\-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223520</xdr:colOff>
      <xdr:row>0</xdr:row>
      <xdr:rowOff>142240</xdr:rowOff>
    </xdr:from>
    <xdr:to>
      <xdr:col>8</xdr:col>
      <xdr:colOff>233680</xdr:colOff>
      <xdr:row>21</xdr:row>
      <xdr:rowOff>71120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426720</xdr:colOff>
      <xdr:row>0</xdr:row>
      <xdr:rowOff>142240</xdr:rowOff>
    </xdr:from>
    <xdr:to>
      <xdr:col>17</xdr:col>
      <xdr:colOff>426720</xdr:colOff>
      <xdr:row>21</xdr:row>
      <xdr:rowOff>71120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219362</xdr:colOff>
      <xdr:row>21</xdr:row>
      <xdr:rowOff>184725</xdr:rowOff>
    </xdr:from>
    <xdr:to>
      <xdr:col>15</xdr:col>
      <xdr:colOff>346363</xdr:colOff>
      <xdr:row>41</xdr:row>
      <xdr:rowOff>173180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7</xdr:col>
      <xdr:colOff>381000</xdr:colOff>
      <xdr:row>64</xdr:row>
      <xdr:rowOff>76200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292100</xdr:colOff>
      <xdr:row>53</xdr:row>
      <xdr:rowOff>127000</xdr:rowOff>
    </xdr:from>
    <xdr:to>
      <xdr:col>14</xdr:col>
      <xdr:colOff>660400</xdr:colOff>
      <xdr:row>83</xdr:row>
      <xdr:rowOff>88900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685800</xdr:colOff>
      <xdr:row>53</xdr:row>
      <xdr:rowOff>114300</xdr:rowOff>
    </xdr:from>
    <xdr:to>
      <xdr:col>26</xdr:col>
      <xdr:colOff>698500</xdr:colOff>
      <xdr:row>83</xdr:row>
      <xdr:rowOff>63500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9</xdr:col>
      <xdr:colOff>178594</xdr:colOff>
      <xdr:row>48</xdr:row>
      <xdr:rowOff>19844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19</xdr:col>
      <xdr:colOff>0</xdr:colOff>
      <xdr:row>48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26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0</xdr:rowOff>
    </xdr:from>
    <xdr:to>
      <xdr:col>8</xdr:col>
      <xdr:colOff>774700</xdr:colOff>
      <xdr:row>60</xdr:row>
      <xdr:rowOff>38100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38</xdr:row>
      <xdr:rowOff>0</xdr:rowOff>
    </xdr:from>
    <xdr:to>
      <xdr:col>19</xdr:col>
      <xdr:colOff>0</xdr:colOff>
      <xdr:row>60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101600</xdr:colOff>
      <xdr:row>37</xdr:row>
      <xdr:rowOff>203200</xdr:rowOff>
    </xdr:from>
    <xdr:to>
      <xdr:col>28</xdr:col>
      <xdr:colOff>939800</xdr:colOff>
      <xdr:row>59</xdr:row>
      <xdr:rowOff>139700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34</xdr:row>
      <xdr:rowOff>25400</xdr:rowOff>
    </xdr:from>
    <xdr:to>
      <xdr:col>11</xdr:col>
      <xdr:colOff>622300</xdr:colOff>
      <xdr:row>59</xdr:row>
      <xdr:rowOff>139700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317500</xdr:colOff>
      <xdr:row>34</xdr:row>
      <xdr:rowOff>0</xdr:rowOff>
    </xdr:from>
    <xdr:to>
      <xdr:col>26</xdr:col>
      <xdr:colOff>342900</xdr:colOff>
      <xdr:row>60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2260879</xdr:colOff>
      <xdr:row>33</xdr:row>
      <xdr:rowOff>83737</xdr:rowOff>
    </xdr:from>
    <xdr:to>
      <xdr:col>14</xdr:col>
      <xdr:colOff>237252</xdr:colOff>
      <xdr:row>59</xdr:row>
      <xdr:rowOff>41868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293077</xdr:colOff>
      <xdr:row>27</xdr:row>
      <xdr:rowOff>0</xdr:rowOff>
    </xdr:from>
    <xdr:to>
      <xdr:col>26</xdr:col>
      <xdr:colOff>865273</xdr:colOff>
      <xdr:row>54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204839</xdr:rowOff>
    </xdr:from>
    <xdr:to>
      <xdr:col>10</xdr:col>
      <xdr:colOff>0</xdr:colOff>
      <xdr:row>50</xdr:row>
      <xdr:rowOff>81935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389195</xdr:colOff>
      <xdr:row>28</xdr:row>
      <xdr:rowOff>204840</xdr:rowOff>
    </xdr:from>
    <xdr:to>
      <xdr:col>24</xdr:col>
      <xdr:colOff>61453</xdr:colOff>
      <xdr:row>50</xdr:row>
      <xdr:rowOff>81936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94</xdr:row>
      <xdr:rowOff>0</xdr:rowOff>
    </xdr:from>
    <xdr:to>
      <xdr:col>10</xdr:col>
      <xdr:colOff>0</xdr:colOff>
      <xdr:row>116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94</xdr:row>
      <xdr:rowOff>0</xdr:rowOff>
    </xdr:from>
    <xdr:to>
      <xdr:col>19</xdr:col>
      <xdr:colOff>0</xdr:colOff>
      <xdr:row>116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94</xdr:row>
      <xdr:rowOff>0</xdr:rowOff>
    </xdr:from>
    <xdr:to>
      <xdr:col>28</xdr:col>
      <xdr:colOff>0</xdr:colOff>
      <xdr:row>116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406400</xdr:colOff>
      <xdr:row>0</xdr:row>
      <xdr:rowOff>152400</xdr:rowOff>
    </xdr:from>
    <xdr:to>
      <xdr:col>22</xdr:col>
      <xdr:colOff>406400</xdr:colOff>
      <xdr:row>18</xdr:row>
      <xdr:rowOff>152400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368300</xdr:colOff>
      <xdr:row>19</xdr:row>
      <xdr:rowOff>190500</xdr:rowOff>
    </xdr:from>
    <xdr:to>
      <xdr:col>22</xdr:col>
      <xdr:colOff>368300</xdr:colOff>
      <xdr:row>38</xdr:row>
      <xdr:rowOff>165100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87346F0D-4CD1-7171-177B-BD2CF9C42E74}"/>
</xltc:personList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AD108"/>
  <sheetViews>
    <sheetView showGridLines="0" zoomScale="75" workbookViewId="0">
      <selection activeCell="I60" sqref="I60"/>
    </sheetView>
  </sheetViews>
  <sheetFormatPr baseColWidth="10" defaultColWidth="8.83203125" defaultRowHeight="13" x14ac:dyDescent="0.15"/>
  <cols>
    <col min="1" max="1" width="49.83203125" customWidth="1"/>
    <col min="2" max="2" width="21.1640625" customWidth="1"/>
    <col min="3" max="3" width="20.33203125" customWidth="1"/>
    <col min="4" max="4" width="32.5" customWidth="1"/>
    <col min="5" max="5" width="20.1640625" customWidth="1"/>
  </cols>
  <sheetData>
    <row r="1" spans="1:30" ht="21" customHeight="1" x14ac:dyDescent="0.15">
      <c r="A1" s="3" t="s">
        <v>0</v>
      </c>
      <c r="B1" s="3"/>
      <c r="C1" s="3"/>
      <c r="D1" s="4"/>
      <c r="AA1" s="113" t="s">
        <v>1</v>
      </c>
      <c r="AB1" s="113"/>
      <c r="AC1" s="113"/>
      <c r="AD1" s="113"/>
    </row>
    <row r="2" spans="1:30" ht="15" customHeight="1" x14ac:dyDescent="0.15">
      <c r="A2" s="126"/>
      <c r="B2" s="126"/>
      <c r="C2" s="126"/>
      <c r="D2" s="2"/>
      <c r="AA2" s="113" t="s">
        <v>310</v>
      </c>
      <c r="AB2" s="113" t="s">
        <v>311</v>
      </c>
      <c r="AC2" s="113"/>
      <c r="AD2" s="113"/>
    </row>
    <row r="3" spans="1:30" ht="16.5" customHeight="1" x14ac:dyDescent="0.15">
      <c r="A3" s="5" t="s">
        <v>2</v>
      </c>
      <c r="B3" s="6" t="s">
        <v>3</v>
      </c>
      <c r="C3" s="6"/>
      <c r="D3" s="7"/>
      <c r="AA3" s="113" t="str">
        <f>"TAM · "&amp;TEXT(Assumptions!$B$4/1000000,"0.0")&amp;" млн"</f>
        <v>TAM · 13.8 млн</v>
      </c>
      <c r="AB3" s="113">
        <f>LOG10(Assumptions!$B$4)</f>
        <v>7.1398790864012369</v>
      </c>
      <c r="AC3" s="113"/>
      <c r="AD3" s="113"/>
    </row>
    <row r="4" spans="1:30" ht="15" customHeight="1" x14ac:dyDescent="0.15">
      <c r="A4" s="8" t="s">
        <v>4</v>
      </c>
      <c r="B4" s="9">
        <v>13800000</v>
      </c>
      <c r="C4" s="10"/>
      <c r="D4" s="7"/>
      <c r="AA4" s="113" t="str">
        <f>"SAM · "&amp;TEXT(Assumptions!$B$5/1000000,"0.00")&amp;" млн"</f>
        <v>SAM · 4.54 млн</v>
      </c>
      <c r="AB4" s="113">
        <f>LOG10(Assumptions!$B$5)</f>
        <v>6.6573905323885372</v>
      </c>
      <c r="AC4" s="113"/>
      <c r="AD4" s="113"/>
    </row>
    <row r="5" spans="1:30" ht="42" customHeight="1" x14ac:dyDescent="0.15">
      <c r="A5" s="11" t="s">
        <v>5</v>
      </c>
      <c r="B5" s="12">
        <v>4543500</v>
      </c>
      <c r="C5" s="13"/>
      <c r="D5" s="7"/>
      <c r="AA5" s="113" t="str">
        <f>"SOM Год 1 · "&amp;TEXT(Assumptions!$B$7/1000,"0.0")&amp;" тыс."</f>
        <v>SOM Год 1 · 181.7 тыс.</v>
      </c>
      <c r="AB5" s="113">
        <f>LOG10(Assumptions!$B$7)</f>
        <v>5.2594505237164997</v>
      </c>
      <c r="AC5" s="113"/>
      <c r="AD5" s="113"/>
    </row>
    <row r="6" spans="1:30" ht="15" customHeight="1" x14ac:dyDescent="0.15">
      <c r="A6" s="11" t="s">
        <v>6</v>
      </c>
      <c r="B6" s="14">
        <v>0.04</v>
      </c>
      <c r="C6" s="13"/>
      <c r="D6" s="7"/>
      <c r="AA6" s="113"/>
      <c r="AB6" s="113"/>
      <c r="AC6" s="113"/>
      <c r="AD6" s="113"/>
    </row>
    <row r="7" spans="1:30" ht="15" customHeight="1" x14ac:dyDescent="0.15">
      <c r="A7" s="11" t="s">
        <v>7</v>
      </c>
      <c r="B7" s="12">
        <f>B5*B6</f>
        <v>181740</v>
      </c>
      <c r="C7" s="13"/>
      <c r="D7" s="7"/>
      <c r="AA7" s="113" t="s">
        <v>8</v>
      </c>
      <c r="AB7" s="113" t="s">
        <v>3</v>
      </c>
      <c r="AC7" s="113"/>
      <c r="AD7" s="113"/>
    </row>
    <row r="8" spans="1:30" ht="15" customHeight="1" x14ac:dyDescent="0.15">
      <c r="A8" s="11" t="s">
        <v>9</v>
      </c>
      <c r="B8" s="12">
        <f>B7*B10/((1+B10)^12-1)</f>
        <v>10773.007319641794</v>
      </c>
      <c r="C8" s="13"/>
      <c r="D8" s="7"/>
      <c r="AA8" s="113" t="s">
        <v>10</v>
      </c>
      <c r="AB8" s="113">
        <f>Assumptions!B18</f>
        <v>0.25</v>
      </c>
      <c r="AC8" s="113"/>
      <c r="AD8" s="113"/>
    </row>
    <row r="9" spans="1:30" ht="15" customHeight="1" x14ac:dyDescent="0.15">
      <c r="A9" s="11" t="s">
        <v>11</v>
      </c>
      <c r="B9" s="12">
        <v>2200</v>
      </c>
      <c r="C9" s="13"/>
      <c r="D9" s="7"/>
      <c r="AA9" s="113" t="s">
        <v>12</v>
      </c>
      <c r="AB9" s="113">
        <f>Assumptions!B19</f>
        <v>0.5</v>
      </c>
      <c r="AC9" s="113"/>
      <c r="AD9" s="113"/>
    </row>
    <row r="10" spans="1:30" ht="15" customHeight="1" x14ac:dyDescent="0.15">
      <c r="A10" s="11" t="s">
        <v>13</v>
      </c>
      <c r="B10" s="14">
        <v>0.06</v>
      </c>
      <c r="C10" s="13"/>
      <c r="D10" s="7"/>
      <c r="AA10" s="113" t="s">
        <v>14</v>
      </c>
      <c r="AB10" s="113">
        <f>Assumptions!B20</f>
        <v>0.1</v>
      </c>
      <c r="AC10" s="113"/>
      <c r="AD10" s="113"/>
    </row>
    <row r="11" spans="1:30" ht="15" customHeight="1" x14ac:dyDescent="0.15">
      <c r="A11" s="11" t="s">
        <v>15</v>
      </c>
      <c r="B11" s="15">
        <v>2.5000000000000001E-2</v>
      </c>
      <c r="C11" s="13"/>
      <c r="D11" s="7"/>
      <c r="AA11" s="113" t="s">
        <v>16</v>
      </c>
      <c r="AB11" s="113">
        <f>Assumptions!B21</f>
        <v>0.3</v>
      </c>
      <c r="AC11" s="113"/>
      <c r="AD11" s="113"/>
    </row>
    <row r="12" spans="1:30" ht="15" customHeight="1" x14ac:dyDescent="0.15">
      <c r="A12" s="11" t="s">
        <v>17</v>
      </c>
      <c r="B12" s="14">
        <v>0.8</v>
      </c>
      <c r="C12" s="13"/>
      <c r="D12" s="7"/>
      <c r="AA12" s="113" t="s">
        <v>18</v>
      </c>
      <c r="AB12" s="113">
        <f>Assumptions!B23</f>
        <v>0.55000000000000004</v>
      </c>
      <c r="AC12" s="113"/>
      <c r="AD12" s="113"/>
    </row>
    <row r="13" spans="1:30" ht="15" customHeight="1" x14ac:dyDescent="0.15">
      <c r="A13" s="11" t="s">
        <v>19</v>
      </c>
      <c r="B13" s="14">
        <v>0.65</v>
      </c>
      <c r="C13" s="13"/>
      <c r="D13" s="7"/>
      <c r="AA13" s="113"/>
      <c r="AB13" s="113"/>
      <c r="AC13" s="113"/>
      <c r="AD13" s="113"/>
    </row>
    <row r="14" spans="1:30" ht="15" customHeight="1" x14ac:dyDescent="0.15">
      <c r="A14" s="11" t="s">
        <v>20</v>
      </c>
      <c r="B14" s="14">
        <v>0.08</v>
      </c>
      <c r="C14" s="13"/>
      <c r="D14" s="7"/>
      <c r="AA14" s="113" t="str">
        <f>Assumptions!A78</f>
        <v>Показатель</v>
      </c>
      <c r="AB14" s="113" t="str">
        <f>Assumptions!B78</f>
        <v>Пессимистичный</v>
      </c>
      <c r="AC14" s="113" t="str">
        <f>Assumptions!C78</f>
        <v>Базовый</v>
      </c>
      <c r="AD14" s="113" t="str">
        <f>Assumptions!D78</f>
        <v>Оптимистичный</v>
      </c>
    </row>
    <row r="15" spans="1:30" ht="15" customHeight="1" x14ac:dyDescent="0.15">
      <c r="A15" s="11" t="s">
        <v>21</v>
      </c>
      <c r="B15" s="14">
        <v>0.05</v>
      </c>
      <c r="C15" s="13"/>
      <c r="D15" s="7"/>
      <c r="AA15" s="113" t="str">
        <f>Assumptions!A79</f>
        <v>RKO revenue multiplier</v>
      </c>
      <c r="AB15" s="113">
        <f>Assumptions!B79</f>
        <v>0.7</v>
      </c>
      <c r="AC15" s="113">
        <f>Assumptions!C79</f>
        <v>1</v>
      </c>
      <c r="AD15" s="113">
        <f>Assumptions!D79</f>
        <v>1.3</v>
      </c>
    </row>
    <row r="16" spans="1:30" ht="15" customHeight="1" x14ac:dyDescent="0.15">
      <c r="A16" s="11" t="s">
        <v>22</v>
      </c>
      <c r="B16" s="12">
        <v>10</v>
      </c>
      <c r="C16" s="13"/>
      <c r="D16" s="7"/>
      <c r="AA16" s="113" t="str">
        <f>Assumptions!A80</f>
        <v>Payments revenue multiplier</v>
      </c>
      <c r="AB16" s="113">
        <f>Assumptions!B80</f>
        <v>0.7</v>
      </c>
      <c r="AC16" s="113">
        <f>Assumptions!C80</f>
        <v>1</v>
      </c>
      <c r="AD16" s="113">
        <f>Assumptions!D80</f>
        <v>1.3</v>
      </c>
    </row>
    <row r="17" spans="1:30" ht="15" customHeight="1" x14ac:dyDescent="0.15">
      <c r="A17" s="11" t="s">
        <v>23</v>
      </c>
      <c r="B17" s="12">
        <v>15</v>
      </c>
      <c r="C17" s="13"/>
      <c r="D17" s="7"/>
      <c r="AA17" s="113" t="str">
        <f>Assumptions!A81</f>
        <v>Team cost multiplier</v>
      </c>
      <c r="AB17" s="113">
        <f>Assumptions!B81</f>
        <v>1.1000000000000001</v>
      </c>
      <c r="AC17" s="113">
        <f>Assumptions!C81</f>
        <v>1</v>
      </c>
      <c r="AD17" s="113">
        <f>Assumptions!D81</f>
        <v>0.9</v>
      </c>
    </row>
    <row r="18" spans="1:30" ht="15" customHeight="1" x14ac:dyDescent="0.15">
      <c r="A18" s="11" t="s">
        <v>24</v>
      </c>
      <c r="B18" s="14">
        <v>0.25</v>
      </c>
      <c r="C18" s="13"/>
      <c r="D18" s="7"/>
      <c r="AA18" s="113" t="str">
        <f>Assumptions!A82</f>
        <v>Marketing cost multiplier</v>
      </c>
      <c r="AB18" s="113">
        <f>Assumptions!B82</f>
        <v>1.1499999999999999</v>
      </c>
      <c r="AC18" s="113">
        <f>Assumptions!C82</f>
        <v>1</v>
      </c>
      <c r="AD18" s="113">
        <f>Assumptions!D82</f>
        <v>0.85</v>
      </c>
    </row>
    <row r="19" spans="1:30" ht="15" customHeight="1" x14ac:dyDescent="0.15">
      <c r="A19" s="11" t="s">
        <v>12</v>
      </c>
      <c r="B19" s="14">
        <v>0.5</v>
      </c>
      <c r="C19" s="13"/>
      <c r="D19" s="7"/>
      <c r="AA19" s="113" t="str">
        <f>Assumptions!A83</f>
        <v>Infrastructure cost multiplier</v>
      </c>
      <c r="AB19" s="113">
        <f>Assumptions!B83</f>
        <v>1.1499999999999999</v>
      </c>
      <c r="AC19" s="113">
        <f>Assumptions!C83</f>
        <v>1</v>
      </c>
      <c r="AD19" s="113">
        <f>Assumptions!D83</f>
        <v>0.85</v>
      </c>
    </row>
    <row r="20" spans="1:30" ht="15" customHeight="1" x14ac:dyDescent="0.15">
      <c r="A20" s="11" t="s">
        <v>14</v>
      </c>
      <c r="B20" s="14">
        <v>0.1</v>
      </c>
      <c r="C20" s="13"/>
      <c r="D20" s="7"/>
      <c r="AA20" s="113" t="str">
        <f>Assumptions!A84</f>
        <v>CAPEX multiplier</v>
      </c>
      <c r="AB20" s="113">
        <f>Assumptions!B84</f>
        <v>1.1499999999999999</v>
      </c>
      <c r="AC20" s="113">
        <f>Assumptions!C84</f>
        <v>1</v>
      </c>
      <c r="AD20" s="113">
        <f>Assumptions!D84</f>
        <v>0.85</v>
      </c>
    </row>
    <row r="21" spans="1:30" ht="15" customHeight="1" x14ac:dyDescent="0.15">
      <c r="A21" s="11" t="s">
        <v>25</v>
      </c>
      <c r="B21" s="14">
        <v>0.3</v>
      </c>
      <c r="C21" s="13"/>
      <c r="D21" s="7"/>
    </row>
    <row r="22" spans="1:30" ht="15" customHeight="1" x14ac:dyDescent="0.15">
      <c r="A22" s="11" t="s">
        <v>26</v>
      </c>
      <c r="B22" s="16">
        <v>3</v>
      </c>
      <c r="C22" s="13"/>
      <c r="D22" s="7"/>
    </row>
    <row r="23" spans="1:30" ht="15" customHeight="1" x14ac:dyDescent="0.15">
      <c r="A23" s="11" t="s">
        <v>114</v>
      </c>
      <c r="B23" s="17">
        <v>0.55000000000000004</v>
      </c>
      <c r="C23" s="13"/>
      <c r="D23" s="7"/>
    </row>
    <row r="24" spans="1:30" ht="15" customHeight="1" x14ac:dyDescent="0.15">
      <c r="A24" s="11" t="s">
        <v>312</v>
      </c>
      <c r="B24" s="14">
        <v>0.45</v>
      </c>
      <c r="C24" s="13"/>
      <c r="D24" s="7"/>
    </row>
    <row r="25" spans="1:30" ht="15" customHeight="1" x14ac:dyDescent="0.15">
      <c r="A25" s="11" t="s">
        <v>313</v>
      </c>
      <c r="B25" s="14">
        <v>0.65</v>
      </c>
      <c r="C25" s="13"/>
      <c r="D25" s="7"/>
    </row>
    <row r="26" spans="1:30" ht="15" customHeight="1" x14ac:dyDescent="0.15">
      <c r="A26" s="11" t="s">
        <v>314</v>
      </c>
      <c r="B26" s="14">
        <v>0.35</v>
      </c>
      <c r="C26" s="13"/>
      <c r="D26" s="7"/>
    </row>
    <row r="27" spans="1:30" ht="15" customHeight="1" x14ac:dyDescent="0.15">
      <c r="A27" s="11" t="s">
        <v>315</v>
      </c>
      <c r="B27" s="14">
        <v>1.4999999999999999E-2</v>
      </c>
      <c r="C27" s="13"/>
      <c r="D27" s="7"/>
    </row>
    <row r="28" spans="1:30" ht="15" customHeight="1" x14ac:dyDescent="0.15">
      <c r="A28" s="11" t="s">
        <v>316</v>
      </c>
      <c r="B28" s="14">
        <v>0.02</v>
      </c>
      <c r="C28" s="13"/>
      <c r="D28" s="7"/>
    </row>
    <row r="29" spans="1:30" ht="15" customHeight="1" x14ac:dyDescent="0.15">
      <c r="A29" s="11" t="s">
        <v>317</v>
      </c>
      <c r="B29" s="14">
        <v>1600</v>
      </c>
      <c r="C29" s="13"/>
      <c r="D29" s="7"/>
    </row>
    <row r="30" spans="1:30" ht="15" customHeight="1" x14ac:dyDescent="0.15">
      <c r="A30" s="11" t="s">
        <v>318</v>
      </c>
      <c r="B30" s="18">
        <v>2200</v>
      </c>
      <c r="C30" s="13"/>
      <c r="D30" s="7"/>
    </row>
    <row r="31" spans="1:30" ht="15" customHeight="1" x14ac:dyDescent="0.15">
      <c r="A31" s="11" t="s">
        <v>319</v>
      </c>
      <c r="B31" s="18">
        <v>6000000</v>
      </c>
      <c r="C31" s="13"/>
      <c r="D31" s="7"/>
    </row>
    <row r="32" spans="1:30" ht="15" customHeight="1" x14ac:dyDescent="0.15">
      <c r="A32" s="11" t="s">
        <v>320</v>
      </c>
      <c r="B32" s="18">
        <v>2000000</v>
      </c>
      <c r="C32" s="13"/>
      <c r="D32" s="7"/>
    </row>
    <row r="33" spans="1:5" ht="15" customHeight="1" x14ac:dyDescent="0.15">
      <c r="A33" s="11" t="s">
        <v>321</v>
      </c>
      <c r="B33" s="18">
        <v>2600000</v>
      </c>
      <c r="C33" s="13"/>
      <c r="D33" s="7"/>
    </row>
    <row r="34" spans="1:5" ht="15" customHeight="1" x14ac:dyDescent="0.15">
      <c r="A34" s="11" t="s">
        <v>322</v>
      </c>
      <c r="B34" s="18">
        <v>3200000</v>
      </c>
      <c r="C34" s="13"/>
      <c r="D34" s="7"/>
    </row>
    <row r="35" spans="1:5" ht="15" customHeight="1" x14ac:dyDescent="0.15">
      <c r="A35" s="11" t="s">
        <v>323</v>
      </c>
      <c r="B35" s="18">
        <f>IF(B43&gt;0,B43,$B$37/(Costs!$B$7+Costs!$C$7*(1+$B$39)^1+Costs!$D$7*(1+$B$39)^2+Costs!$E$7*(1+$B$39)^3+Costs!$F$7*(1+$B$39)^4+Costs!$G$7*(1+$B$39)^5+Costs!$H$7*(1+$B$39)^6+Costs!$I$7*(1+$B$39)^7+Costs!$J$7*(1+$B$39)^8+Costs!$K$7*(1+$B$39)^9+Costs!$L$7*(1+$B$39)^10+Costs!$M$7*(1+$B$39)^11))</f>
        <v>8.440632750033993</v>
      </c>
      <c r="C35" s="13"/>
      <c r="D35" s="7"/>
    </row>
    <row r="36" spans="1:5" ht="15" customHeight="1" x14ac:dyDescent="0.15">
      <c r="A36" s="11" t="s">
        <v>324</v>
      </c>
      <c r="B36" s="18">
        <f t="array" ref="B36">Costs!$B$18</f>
        <v>109500.39044859924</v>
      </c>
      <c r="C36" s="13"/>
      <c r="D36" s="7"/>
    </row>
    <row r="37" spans="1:5" ht="15" customHeight="1" x14ac:dyDescent="0.15">
      <c r="A37" s="11" t="s">
        <v>325</v>
      </c>
      <c r="B37" s="18">
        <v>2092848.6849134532</v>
      </c>
      <c r="C37" s="13"/>
      <c r="D37" s="7"/>
    </row>
    <row r="38" spans="1:5" ht="15" customHeight="1" x14ac:dyDescent="0.15">
      <c r="A38" s="11" t="s">
        <v>326</v>
      </c>
      <c r="B38" s="18">
        <v>40000000</v>
      </c>
      <c r="C38" s="13"/>
    </row>
    <row r="39" spans="1:5" ht="15" customHeight="1" x14ac:dyDescent="0.15">
      <c r="A39" s="11" t="s">
        <v>139</v>
      </c>
      <c r="B39" s="18">
        <v>0.02</v>
      </c>
      <c r="C39" s="13"/>
      <c r="D39" s="19"/>
      <c r="E39" s="20"/>
    </row>
    <row r="40" spans="1:5" ht="15" customHeight="1" x14ac:dyDescent="0.15">
      <c r="A40" s="11" t="s">
        <v>327</v>
      </c>
      <c r="B40" s="14">
        <f>$B$51</f>
        <v>0.1</v>
      </c>
      <c r="C40" s="13"/>
      <c r="D40" s="7"/>
    </row>
    <row r="41" spans="1:5" ht="15" customHeight="1" x14ac:dyDescent="0.15">
      <c r="A41" s="11" t="s">
        <v>147</v>
      </c>
      <c r="B41" s="14">
        <v>50</v>
      </c>
      <c r="C41" s="13"/>
      <c r="D41" s="7"/>
    </row>
    <row r="42" spans="1:5" ht="15" customHeight="1" x14ac:dyDescent="0.15">
      <c r="A42" s="11" t="s">
        <v>328</v>
      </c>
      <c r="B42" s="18">
        <v>5</v>
      </c>
      <c r="C42" s="13"/>
      <c r="D42" s="7"/>
    </row>
    <row r="43" spans="1:5" ht="15" customHeight="1" x14ac:dyDescent="0.15">
      <c r="A43" s="21" t="s">
        <v>329</v>
      </c>
      <c r="B43" s="22"/>
      <c r="C43" s="23"/>
      <c r="D43" s="7"/>
    </row>
    <row r="44" spans="1:5" ht="15" customHeight="1" x14ac:dyDescent="0.15">
      <c r="A44" s="127" t="s">
        <v>330</v>
      </c>
      <c r="B44" s="128"/>
      <c r="C44" s="129"/>
      <c r="D44" s="137"/>
    </row>
    <row r="45" spans="1:5" ht="15.75" customHeight="1" x14ac:dyDescent="0.15">
      <c r="A45" s="115" t="s">
        <v>331</v>
      </c>
      <c r="B45" s="122">
        <v>0.6</v>
      </c>
      <c r="C45" s="136"/>
      <c r="D45" s="138"/>
    </row>
    <row r="46" spans="1:5" ht="15" customHeight="1" x14ac:dyDescent="0.15">
      <c r="A46" s="114" t="s">
        <v>332</v>
      </c>
      <c r="B46" s="123">
        <v>3.75</v>
      </c>
      <c r="C46" s="24"/>
      <c r="D46" s="139"/>
    </row>
    <row r="47" spans="1:5" ht="15" customHeight="1" x14ac:dyDescent="0.15">
      <c r="A47" s="114" t="s">
        <v>333</v>
      </c>
      <c r="B47" s="117">
        <v>0.25</v>
      </c>
      <c r="C47" s="13"/>
      <c r="D47" s="139"/>
    </row>
    <row r="48" spans="1:5" ht="15" customHeight="1" x14ac:dyDescent="0.15">
      <c r="A48" s="114" t="s">
        <v>334</v>
      </c>
      <c r="B48" s="117">
        <v>0.2</v>
      </c>
      <c r="C48" s="13"/>
      <c r="D48" s="139"/>
    </row>
    <row r="49" spans="1:4" ht="15" customHeight="1" x14ac:dyDescent="0.15">
      <c r="A49" s="114" t="s">
        <v>335</v>
      </c>
      <c r="B49" s="123">
        <v>7.5</v>
      </c>
      <c r="C49" s="13"/>
      <c r="D49" s="139"/>
    </row>
    <row r="50" spans="1:4" ht="15" customHeight="1" x14ac:dyDescent="0.15">
      <c r="A50" s="114" t="s">
        <v>336</v>
      </c>
      <c r="B50" s="117">
        <v>0.16669999999999999</v>
      </c>
      <c r="C50" s="13"/>
      <c r="D50" s="139"/>
    </row>
    <row r="51" spans="1:4" ht="15" customHeight="1" x14ac:dyDescent="0.15">
      <c r="A51" s="114" t="s">
        <v>337</v>
      </c>
      <c r="B51" s="117">
        <v>0.1</v>
      </c>
      <c r="C51" s="13"/>
      <c r="D51" s="139"/>
    </row>
    <row r="52" spans="1:4" ht="15" customHeight="1" x14ac:dyDescent="0.15">
      <c r="A52" s="114" t="s">
        <v>338</v>
      </c>
      <c r="B52" s="123">
        <v>50</v>
      </c>
      <c r="C52" s="13"/>
      <c r="D52" s="139"/>
    </row>
    <row r="53" spans="1:4" ht="15" customHeight="1" x14ac:dyDescent="0.15">
      <c r="A53" s="114" t="s">
        <v>339</v>
      </c>
      <c r="B53" s="117">
        <v>0.8</v>
      </c>
      <c r="C53" s="13"/>
      <c r="D53" s="139"/>
    </row>
    <row r="54" spans="1:4" ht="15" customHeight="1" x14ac:dyDescent="0.15">
      <c r="A54" s="114" t="s">
        <v>340</v>
      </c>
      <c r="B54" s="117">
        <v>0.05</v>
      </c>
      <c r="C54" s="13"/>
      <c r="D54" s="139"/>
    </row>
    <row r="55" spans="1:4" ht="15" customHeight="1" x14ac:dyDescent="0.15">
      <c r="A55" s="114" t="s">
        <v>341</v>
      </c>
      <c r="B55" s="123">
        <v>10.8</v>
      </c>
      <c r="C55" s="13"/>
      <c r="D55" s="139"/>
    </row>
    <row r="56" spans="1:4" ht="15" customHeight="1" x14ac:dyDescent="0.15">
      <c r="A56" s="114" t="s">
        <v>342</v>
      </c>
      <c r="B56" s="117">
        <v>0.12</v>
      </c>
      <c r="C56" s="13"/>
      <c r="D56" s="139"/>
    </row>
    <row r="57" spans="1:4" ht="15" customHeight="1" x14ac:dyDescent="0.15">
      <c r="A57" s="114" t="s">
        <v>343</v>
      </c>
      <c r="B57" s="117">
        <v>0.03</v>
      </c>
      <c r="C57" s="13"/>
      <c r="D57" s="139"/>
    </row>
    <row r="58" spans="1:4" ht="15" customHeight="1" x14ac:dyDescent="0.15">
      <c r="A58" s="114" t="s">
        <v>344</v>
      </c>
      <c r="B58" s="123">
        <v>27</v>
      </c>
      <c r="C58" s="13"/>
      <c r="D58" s="139"/>
    </row>
    <row r="59" spans="1:4" ht="15" customHeight="1" x14ac:dyDescent="0.15">
      <c r="A59" s="114" t="s">
        <v>345</v>
      </c>
      <c r="B59" s="117">
        <v>0.15</v>
      </c>
      <c r="C59" s="13"/>
      <c r="D59" s="139"/>
    </row>
    <row r="60" spans="1:4" ht="15" customHeight="1" x14ac:dyDescent="0.15">
      <c r="A60" s="114" t="s">
        <v>346</v>
      </c>
      <c r="B60" s="117">
        <v>0.02</v>
      </c>
      <c r="C60" s="13"/>
      <c r="D60" s="139"/>
    </row>
    <row r="61" spans="1:4" ht="15" customHeight="1" x14ac:dyDescent="0.15">
      <c r="A61" s="114" t="s">
        <v>347</v>
      </c>
      <c r="B61" s="123">
        <v>30</v>
      </c>
      <c r="C61" s="13"/>
      <c r="D61" s="139"/>
    </row>
    <row r="62" spans="1:4" ht="15" customHeight="1" x14ac:dyDescent="0.15">
      <c r="A62" s="114" t="s">
        <v>348</v>
      </c>
      <c r="B62" s="117">
        <v>0.1</v>
      </c>
      <c r="C62" s="13"/>
      <c r="D62" s="139"/>
    </row>
    <row r="63" spans="1:4" ht="15" customHeight="1" x14ac:dyDescent="0.15">
      <c r="A63" s="114" t="s">
        <v>349</v>
      </c>
      <c r="B63" s="117">
        <v>7.0000000000000007E-2</v>
      </c>
      <c r="C63" s="13"/>
      <c r="D63" s="139"/>
    </row>
    <row r="64" spans="1:4" ht="15" customHeight="1" x14ac:dyDescent="0.15">
      <c r="A64" s="114" t="s">
        <v>350</v>
      </c>
      <c r="B64" s="117">
        <v>0.03</v>
      </c>
      <c r="C64" s="13"/>
      <c r="D64" s="139"/>
    </row>
    <row r="65" spans="1:5" ht="15" customHeight="1" x14ac:dyDescent="0.15">
      <c r="A65" s="114" t="s">
        <v>351</v>
      </c>
      <c r="B65" s="124">
        <v>1.5</v>
      </c>
      <c r="C65" s="13"/>
      <c r="D65" s="139"/>
    </row>
    <row r="66" spans="1:5" ht="15" customHeight="1" x14ac:dyDescent="0.15">
      <c r="A66" s="114" t="s">
        <v>352</v>
      </c>
      <c r="B66" s="124">
        <v>0.7</v>
      </c>
      <c r="C66" s="13"/>
      <c r="D66" s="139"/>
    </row>
    <row r="67" spans="1:5" ht="15" customHeight="1" x14ac:dyDescent="0.15">
      <c r="A67" s="114" t="s">
        <v>353</v>
      </c>
      <c r="B67" s="118">
        <v>6</v>
      </c>
      <c r="C67" s="13"/>
      <c r="D67" s="139"/>
    </row>
    <row r="68" spans="1:5" ht="15" customHeight="1" x14ac:dyDescent="0.15">
      <c r="A68" s="114" t="s">
        <v>354</v>
      </c>
      <c r="B68" s="118">
        <v>12</v>
      </c>
      <c r="C68" s="13"/>
      <c r="D68" s="139"/>
    </row>
    <row r="69" spans="1:5" ht="15" customHeight="1" x14ac:dyDescent="0.15">
      <c r="A69" s="114" t="s">
        <v>176</v>
      </c>
      <c r="B69" s="117">
        <v>0.2</v>
      </c>
      <c r="C69" s="13"/>
      <c r="D69" s="139"/>
    </row>
    <row r="70" spans="1:5" ht="15" customHeight="1" x14ac:dyDescent="0.15">
      <c r="A70" s="11"/>
      <c r="B70" s="14"/>
      <c r="C70" s="13"/>
      <c r="D70" s="139"/>
    </row>
    <row r="71" spans="1:5" ht="15" customHeight="1" x14ac:dyDescent="0.15">
      <c r="A71" s="130" t="s">
        <v>355</v>
      </c>
      <c r="B71" s="130"/>
      <c r="C71" s="130"/>
      <c r="D71" s="140"/>
    </row>
    <row r="72" spans="1:5" ht="15.75" customHeight="1" x14ac:dyDescent="0.15">
      <c r="A72" s="115" t="s">
        <v>356</v>
      </c>
      <c r="B72" s="122">
        <v>0.2</v>
      </c>
      <c r="C72" s="136"/>
      <c r="D72" s="7"/>
    </row>
    <row r="73" spans="1:5" ht="15" customHeight="1" x14ac:dyDescent="0.15">
      <c r="A73" s="114" t="s">
        <v>357</v>
      </c>
      <c r="B73" s="118">
        <v>24</v>
      </c>
      <c r="C73" s="24"/>
      <c r="D73" s="7"/>
      <c r="E73" s="141"/>
    </row>
    <row r="74" spans="1:5" ht="15" customHeight="1" x14ac:dyDescent="0.15">
      <c r="A74" s="114" t="s">
        <v>358</v>
      </c>
      <c r="B74" s="118">
        <v>1</v>
      </c>
      <c r="C74" s="13"/>
      <c r="D74" s="7"/>
      <c r="E74" s="141"/>
    </row>
    <row r="75" spans="1:5" ht="15" customHeight="1" x14ac:dyDescent="0.15">
      <c r="A75" s="11"/>
      <c r="B75" s="12"/>
      <c r="C75" s="13"/>
      <c r="D75" s="7"/>
      <c r="E75" s="141"/>
    </row>
    <row r="76" spans="1:5" x14ac:dyDescent="0.15">
      <c r="E76" s="141"/>
    </row>
    <row r="77" spans="1:5" ht="15.75" customHeight="1" x14ac:dyDescent="0.2">
      <c r="A77" s="119" t="s">
        <v>27</v>
      </c>
      <c r="B77" s="119"/>
      <c r="C77" s="119"/>
      <c r="D77" s="119"/>
      <c r="E77" s="142"/>
    </row>
    <row r="78" spans="1:5" ht="16.5" customHeight="1" x14ac:dyDescent="0.15">
      <c r="A78" s="120" t="s">
        <v>28</v>
      </c>
      <c r="B78" s="121" t="s">
        <v>29</v>
      </c>
      <c r="C78" s="121" t="s">
        <v>30</v>
      </c>
      <c r="D78" s="121" t="s">
        <v>31</v>
      </c>
      <c r="E78" s="143"/>
    </row>
    <row r="79" spans="1:5" ht="27.75" customHeight="1" x14ac:dyDescent="0.15">
      <c r="A79" s="116" t="s">
        <v>32</v>
      </c>
      <c r="B79" s="125">
        <v>0.7</v>
      </c>
      <c r="C79" s="125">
        <v>1</v>
      </c>
      <c r="D79" s="125">
        <v>1.3</v>
      </c>
      <c r="E79" s="144"/>
    </row>
    <row r="80" spans="1:5" ht="27.75" customHeight="1" x14ac:dyDescent="0.15">
      <c r="A80" s="114" t="s">
        <v>33</v>
      </c>
      <c r="B80" s="124">
        <v>0.7</v>
      </c>
      <c r="C80" s="124">
        <v>1</v>
      </c>
      <c r="D80" s="124">
        <v>1.3</v>
      </c>
      <c r="E80" s="144"/>
    </row>
    <row r="81" spans="1:5" ht="42" customHeight="1" x14ac:dyDescent="0.15">
      <c r="A81" s="114" t="s">
        <v>34</v>
      </c>
      <c r="B81" s="124">
        <v>1.1000000000000001</v>
      </c>
      <c r="C81" s="124">
        <v>1</v>
      </c>
      <c r="D81" s="124">
        <v>0.9</v>
      </c>
      <c r="E81" s="144"/>
    </row>
    <row r="82" spans="1:5" ht="42" customHeight="1" x14ac:dyDescent="0.15">
      <c r="A82" s="114" t="s">
        <v>35</v>
      </c>
      <c r="B82" s="124">
        <v>1.1499999999999999</v>
      </c>
      <c r="C82" s="124">
        <v>1</v>
      </c>
      <c r="D82" s="124">
        <v>0.85</v>
      </c>
      <c r="E82" s="144"/>
    </row>
    <row r="83" spans="1:5" ht="42" customHeight="1" x14ac:dyDescent="0.15">
      <c r="A83" s="114" t="s">
        <v>36</v>
      </c>
      <c r="B83" s="124">
        <v>1.1499999999999999</v>
      </c>
      <c r="C83" s="124">
        <v>1</v>
      </c>
      <c r="D83" s="124">
        <v>0.85</v>
      </c>
      <c r="E83" s="144"/>
    </row>
    <row r="84" spans="1:5" ht="42" customHeight="1" x14ac:dyDescent="0.15">
      <c r="A84" s="114" t="s">
        <v>37</v>
      </c>
      <c r="B84" s="124">
        <v>1.1499999999999999</v>
      </c>
      <c r="C84" s="124">
        <v>1</v>
      </c>
      <c r="D84" s="124">
        <v>0.85</v>
      </c>
      <c r="E84" s="144"/>
    </row>
    <row r="85" spans="1:5" ht="27.75" customHeight="1" x14ac:dyDescent="0.15">
      <c r="A85" s="114" t="s">
        <v>38</v>
      </c>
      <c r="B85" s="117">
        <v>0.03</v>
      </c>
      <c r="C85" s="117">
        <v>0.05</v>
      </c>
      <c r="D85" s="117">
        <v>7.0000000000000007E-2</v>
      </c>
      <c r="E85" s="144"/>
    </row>
    <row r="86" spans="1:5" x14ac:dyDescent="0.15">
      <c r="E86" s="141"/>
    </row>
    <row r="87" spans="1:5" ht="13.5" customHeight="1" x14ac:dyDescent="0.2">
      <c r="A87" s="119" t="s">
        <v>39</v>
      </c>
      <c r="B87" s="119"/>
      <c r="C87" s="119"/>
      <c r="D87" s="119"/>
      <c r="E87" s="142"/>
    </row>
    <row r="88" spans="1:5" ht="13.5" customHeight="1" x14ac:dyDescent="0.15">
      <c r="A88" s="120" t="s">
        <v>40</v>
      </c>
      <c r="B88" s="121" t="s">
        <v>3</v>
      </c>
      <c r="C88" s="121"/>
      <c r="D88" s="121"/>
      <c r="E88" s="143"/>
    </row>
    <row r="89" spans="1:5" ht="15" customHeight="1" x14ac:dyDescent="0.15">
      <c r="A89" s="114" t="s">
        <v>41</v>
      </c>
      <c r="B89" s="123">
        <v>150000</v>
      </c>
      <c r="C89" s="13"/>
      <c r="D89" s="19"/>
      <c r="E89" s="145"/>
    </row>
    <row r="90" spans="1:5" ht="15" customHeight="1" x14ac:dyDescent="0.15">
      <c r="A90" s="114" t="s">
        <v>42</v>
      </c>
      <c r="B90" s="123">
        <v>1.5</v>
      </c>
      <c r="C90" s="13"/>
      <c r="D90" s="19"/>
      <c r="E90" s="145"/>
    </row>
    <row r="91" spans="1:5" ht="15" customHeight="1" x14ac:dyDescent="0.15">
      <c r="A91" s="114" t="s">
        <v>43</v>
      </c>
      <c r="B91" s="123">
        <v>2000000</v>
      </c>
      <c r="C91" s="13"/>
      <c r="D91" s="19"/>
      <c r="E91" s="145"/>
    </row>
    <row r="92" spans="1:5" ht="15" customHeight="1" x14ac:dyDescent="0.15">
      <c r="A92" s="114" t="s">
        <v>44</v>
      </c>
      <c r="B92" s="117">
        <v>0.1</v>
      </c>
      <c r="C92" s="13"/>
      <c r="D92" s="19"/>
      <c r="E92" s="145"/>
    </row>
    <row r="93" spans="1:5" ht="15" customHeight="1" x14ac:dyDescent="0.15">
      <c r="A93" s="11"/>
      <c r="B93" s="18"/>
      <c r="C93" s="13"/>
      <c r="D93" s="19"/>
      <c r="E93" s="145"/>
    </row>
    <row r="94" spans="1:5" ht="13.5" hidden="1" customHeight="1" x14ac:dyDescent="0.15">
      <c r="A94" s="25" t="s">
        <v>45</v>
      </c>
      <c r="B94" s="9">
        <f>'P&amp;L'!Z9-'Banking Revenue'!Z15</f>
        <v>0</v>
      </c>
      <c r="C94" s="26" t="s">
        <v>46</v>
      </c>
      <c r="D94" s="26"/>
      <c r="E94" s="144"/>
    </row>
    <row r="95" spans="1:5" ht="13.5" hidden="1" customHeight="1" x14ac:dyDescent="0.15">
      <c r="A95" s="25" t="s">
        <v>47</v>
      </c>
      <c r="B95" s="9">
        <f>'P&amp;L'!Z19-Costs!Z27</f>
        <v>0</v>
      </c>
      <c r="C95" s="26" t="s">
        <v>46</v>
      </c>
      <c r="D95" s="26"/>
      <c r="E95" s="144"/>
    </row>
    <row r="96" spans="1:5" ht="13.5" hidden="1" customHeight="1" x14ac:dyDescent="0.15">
      <c r="A96" s="25" t="s">
        <v>48</v>
      </c>
      <c r="B96" s="9">
        <f>'P&amp;L'!Z17-Costs!Z24</f>
        <v>0</v>
      </c>
      <c r="C96" s="26" t="s">
        <v>46</v>
      </c>
      <c r="D96" s="26"/>
      <c r="E96" s="144"/>
    </row>
    <row r="97" spans="1:5" ht="13.5" hidden="1" customHeight="1" x14ac:dyDescent="0.15">
      <c r="A97" s="27"/>
      <c r="B97" s="28"/>
      <c r="C97" s="29"/>
      <c r="D97" s="29"/>
      <c r="E97" s="141"/>
    </row>
    <row r="98" spans="1:5" ht="13.5" hidden="1" customHeight="1" x14ac:dyDescent="0.15">
      <c r="A98" s="27"/>
      <c r="B98" s="28"/>
      <c r="C98" s="29"/>
      <c r="D98" s="29"/>
      <c r="E98" s="141"/>
    </row>
    <row r="99" spans="1:5" ht="13.5" hidden="1" customHeight="1" x14ac:dyDescent="0.15">
      <c r="A99" s="27"/>
      <c r="B99" s="28"/>
      <c r="C99" s="29"/>
      <c r="D99" s="29"/>
      <c r="E99" s="141"/>
    </row>
    <row r="100" spans="1:5" ht="13.5" hidden="1" customHeight="1" x14ac:dyDescent="0.15">
      <c r="A100" s="25" t="s">
        <v>49</v>
      </c>
      <c r="B100" s="9">
        <f>Scenarios!C26-DCF!B22</f>
        <v>0</v>
      </c>
      <c r="C100" s="26" t="s">
        <v>46</v>
      </c>
      <c r="D100" s="26"/>
      <c r="E100" s="144"/>
    </row>
    <row r="101" spans="1:5" ht="13.5" hidden="1" customHeight="1" x14ac:dyDescent="0.15">
      <c r="A101" s="25" t="s">
        <v>50</v>
      </c>
      <c r="B101" s="9">
        <f>Summary!B23-DCF!B22</f>
        <v>0</v>
      </c>
      <c r="C101" s="26" t="s">
        <v>46</v>
      </c>
      <c r="D101" s="26"/>
      <c r="E101" s="144"/>
    </row>
    <row r="102" spans="1:5" ht="13.5" customHeight="1" x14ac:dyDescent="0.15">
      <c r="A102" s="30"/>
      <c r="B102" s="31"/>
      <c r="C102" s="7"/>
      <c r="D102" s="7"/>
      <c r="E102" s="141"/>
    </row>
    <row r="103" spans="1:5" x14ac:dyDescent="0.15">
      <c r="E103" s="141"/>
    </row>
    <row r="104" spans="1:5" x14ac:dyDescent="0.15">
      <c r="E104" s="141"/>
    </row>
    <row r="105" spans="1:5" x14ac:dyDescent="0.15">
      <c r="E105" s="146"/>
    </row>
    <row r="106" spans="1:5" x14ac:dyDescent="0.15">
      <c r="E106" s="146"/>
    </row>
    <row r="107" spans="1:5" x14ac:dyDescent="0.15">
      <c r="E107" s="146"/>
    </row>
    <row r="108" spans="1:5" x14ac:dyDescent="0.15">
      <c r="E108" s="146"/>
    </row>
  </sheetData>
  <mergeCells count="3">
    <mergeCell ref="A2:C2"/>
    <mergeCell ref="A44:C44"/>
    <mergeCell ref="A71:C71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56"/>
  <sheetViews>
    <sheetView topLeftCell="A39" workbookViewId="0">
      <selection activeCell="AB78" sqref="AB78"/>
    </sheetView>
  </sheetViews>
  <sheetFormatPr baseColWidth="10" defaultColWidth="23.6640625" defaultRowHeight="13" x14ac:dyDescent="0.15"/>
  <cols>
    <col min="1" max="1" width="47.83203125" customWidth="1"/>
    <col min="2" max="2" width="7.1640625" customWidth="1"/>
    <col min="3" max="12" width="8" customWidth="1"/>
    <col min="13" max="26" width="9.5" customWidth="1"/>
    <col min="27" max="27" width="10.33203125" customWidth="1"/>
  </cols>
  <sheetData>
    <row r="1" spans="1:29" ht="21" x14ac:dyDescent="0.15">
      <c r="A1" s="32" t="s">
        <v>51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4"/>
      <c r="AC1" s="4"/>
    </row>
    <row r="2" spans="1:29" ht="15" x14ac:dyDescent="0.2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4"/>
      <c r="AC2" s="34"/>
    </row>
    <row r="3" spans="1:29" ht="15" x14ac:dyDescent="0.2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</row>
    <row r="4" spans="1:29" ht="16" x14ac:dyDescent="0.15">
      <c r="A4" s="36" t="s">
        <v>28</v>
      </c>
      <c r="B4" s="37" t="s">
        <v>52</v>
      </c>
      <c r="C4" s="37" t="s">
        <v>53</v>
      </c>
      <c r="D4" s="37" t="s">
        <v>54</v>
      </c>
      <c r="E4" s="37" t="s">
        <v>55</v>
      </c>
      <c r="F4" s="37" t="s">
        <v>56</v>
      </c>
      <c r="G4" s="37" t="s">
        <v>57</v>
      </c>
      <c r="H4" s="37" t="s">
        <v>58</v>
      </c>
      <c r="I4" s="37" t="s">
        <v>59</v>
      </c>
      <c r="J4" s="37" t="s">
        <v>60</v>
      </c>
      <c r="K4" s="37" t="s">
        <v>61</v>
      </c>
      <c r="L4" s="37" t="s">
        <v>62</v>
      </c>
      <c r="M4" s="37" t="s">
        <v>63</v>
      </c>
      <c r="N4" s="37" t="s">
        <v>64</v>
      </c>
      <c r="O4" s="37" t="s">
        <v>65</v>
      </c>
      <c r="P4" s="37" t="s">
        <v>66</v>
      </c>
      <c r="Q4" s="37" t="s">
        <v>67</v>
      </c>
      <c r="R4" s="37" t="s">
        <v>68</v>
      </c>
      <c r="S4" s="37" t="s">
        <v>69</v>
      </c>
      <c r="T4" s="37" t="s">
        <v>70</v>
      </c>
      <c r="U4" s="37" t="s">
        <v>71</v>
      </c>
      <c r="V4" s="37" t="s">
        <v>72</v>
      </c>
      <c r="W4" s="37" t="s">
        <v>73</v>
      </c>
      <c r="X4" s="37" t="s">
        <v>74</v>
      </c>
      <c r="Y4" s="37" t="s">
        <v>75</v>
      </c>
      <c r="Z4" s="37" t="s">
        <v>76</v>
      </c>
      <c r="AA4" s="37" t="s">
        <v>77</v>
      </c>
      <c r="AB4" s="38"/>
      <c r="AC4" s="38"/>
    </row>
    <row r="5" spans="1:29" ht="15" x14ac:dyDescent="0.2">
      <c r="A5" s="39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35"/>
      <c r="AC5" s="35"/>
    </row>
    <row r="6" spans="1:29" ht="16" x14ac:dyDescent="0.2">
      <c r="A6" s="41" t="s">
        <v>78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2"/>
      <c r="AC6" s="42"/>
    </row>
    <row r="7" spans="1:29" ht="16" x14ac:dyDescent="0.2">
      <c r="A7" s="39" t="s">
        <v>79</v>
      </c>
      <c r="B7" s="43">
        <f>Assumptions!$B$8</f>
        <v>10773.007319641794</v>
      </c>
      <c r="C7" s="43">
        <f>B7*(1+Assumptions!$B$10)</f>
        <v>11419.387758820303</v>
      </c>
      <c r="D7" s="43">
        <f>C7*(1+Assumptions!$B$10)</f>
        <v>12104.551024349523</v>
      </c>
      <c r="E7" s="43">
        <f>D7*(1+Assumptions!$B$10)</f>
        <v>12830.824085810495</v>
      </c>
      <c r="F7" s="43">
        <f>E7*(1+Assumptions!$B$10)</f>
        <v>13600.673530959124</v>
      </c>
      <c r="G7" s="43">
        <f>F7*(1+Assumptions!$B$10)</f>
        <v>14416.713942816672</v>
      </c>
      <c r="H7" s="43">
        <f>G7*(1+Assumptions!$B$10)</f>
        <v>15281.716779385673</v>
      </c>
      <c r="I7" s="43">
        <f>H7*(1+Assumptions!$B$10)</f>
        <v>16198.619786148814</v>
      </c>
      <c r="J7" s="43">
        <f>I7*(1+Assumptions!$B$10)</f>
        <v>17170.536973317743</v>
      </c>
      <c r="K7" s="43">
        <f>J7*(1+Assumptions!$B$10)</f>
        <v>18200.769191716809</v>
      </c>
      <c r="L7" s="43">
        <f>K7*(1+Assumptions!$B$10)</f>
        <v>19292.81534321982</v>
      </c>
      <c r="M7" s="43">
        <f>L7*(1+Assumptions!$B$10)</f>
        <v>20450.384263813008</v>
      </c>
      <c r="N7" s="43">
        <f>M7*(1+Assumptions!$B$11)</f>
        <v>20961.64387040833</v>
      </c>
      <c r="O7" s="43">
        <f>N7*(1+Assumptions!$B$11)</f>
        <v>21485.684967168538</v>
      </c>
      <c r="P7" s="43">
        <f>O7*(1+Assumptions!$B$11)</f>
        <v>22022.82709134775</v>
      </c>
      <c r="Q7" s="43">
        <f>P7*(1+Assumptions!$B$11)</f>
        <v>22573.397768631443</v>
      </c>
      <c r="R7" s="43">
        <f>Q7*(1+Assumptions!$B$11)</f>
        <v>23137.732712847228</v>
      </c>
      <c r="S7" s="43">
        <f>R7*(1+Assumptions!$B$11)</f>
        <v>23716.176030668408</v>
      </c>
      <c r="T7" s="43">
        <f>S7*(1+Assumptions!$B$11)</f>
        <v>24309.080431435115</v>
      </c>
      <c r="U7" s="43">
        <f>T7*(1+Assumptions!$B$11)</f>
        <v>24916.80744222099</v>
      </c>
      <c r="V7" s="43">
        <f>U7*(1+Assumptions!$B$11)</f>
        <v>25539.727628276512</v>
      </c>
      <c r="W7" s="43">
        <f>V7*(1+Assumptions!$B$11)</f>
        <v>26178.220818983424</v>
      </c>
      <c r="X7" s="43">
        <f>W7*(1+Assumptions!$B$11)</f>
        <v>26832.676339458008</v>
      </c>
      <c r="Y7" s="43">
        <f>X7*(1+Assumptions!$B$11)</f>
        <v>27503.493247944458</v>
      </c>
      <c r="Z7" s="40">
        <f>SUM(B7:M7)</f>
        <v>181739.99999999977</v>
      </c>
      <c r="AA7" s="40">
        <f>SUM(N7:Y7)</f>
        <v>289177.4683493902</v>
      </c>
      <c r="AB7" s="35"/>
      <c r="AC7" s="35"/>
    </row>
    <row r="8" spans="1:29" ht="16" x14ac:dyDescent="0.2">
      <c r="A8" s="39" t="s">
        <v>80</v>
      </c>
      <c r="B8" s="43">
        <f>Assumptions!$B$9</f>
        <v>2200</v>
      </c>
      <c r="C8" s="43">
        <f>B8*(1+Assumptions!$B$10)</f>
        <v>2332</v>
      </c>
      <c r="D8" s="43">
        <f>C8*(1+Assumptions!$B$10)</f>
        <v>2471.92</v>
      </c>
      <c r="E8" s="43">
        <f>D8*(1+Assumptions!$B$10)</f>
        <v>2620.2352000000001</v>
      </c>
      <c r="F8" s="43">
        <f>E8*(1+Assumptions!$B$10)</f>
        <v>2777.4493120000002</v>
      </c>
      <c r="G8" s="43">
        <f>F8*(1+Assumptions!$B$10)</f>
        <v>2944.0962707200006</v>
      </c>
      <c r="H8" s="43">
        <f>G8*(1+Assumptions!$B$10)</f>
        <v>3120.7420469632007</v>
      </c>
      <c r="I8" s="43">
        <f>H8*(1+Assumptions!$B$10)</f>
        <v>3307.9865697809928</v>
      </c>
      <c r="J8" s="43">
        <f>I8*(1+Assumptions!$B$10)</f>
        <v>3506.4657639678526</v>
      </c>
      <c r="K8" s="43">
        <f>J8*(1+Assumptions!$B$10)</f>
        <v>3716.8537098059237</v>
      </c>
      <c r="L8" s="43">
        <f>K8*(1+Assumptions!$B$10)</f>
        <v>3939.8649323942791</v>
      </c>
      <c r="M8" s="43">
        <f>L8*(1+Assumptions!$B$10)</f>
        <v>4176.256828337936</v>
      </c>
      <c r="N8" s="43">
        <f>M8*(1+Assumptions!$B$11)</f>
        <v>4280.6632490463844</v>
      </c>
      <c r="O8" s="43">
        <f>N8*(1+Assumptions!$B$11)</f>
        <v>4387.6798302725438</v>
      </c>
      <c r="P8" s="43">
        <f>O8*(1+Assumptions!$B$11)</f>
        <v>4497.3718260293572</v>
      </c>
      <c r="Q8" s="43">
        <f>P8*(1+Assumptions!$B$11)</f>
        <v>4609.8061216800907</v>
      </c>
      <c r="R8" s="43">
        <f>Q8*(1+Assumptions!$B$11)</f>
        <v>4725.0512747220928</v>
      </c>
      <c r="S8" s="43">
        <f>R8*(1+Assumptions!$B$11)</f>
        <v>4843.1775565901444</v>
      </c>
      <c r="T8" s="43">
        <f>S8*(1+Assumptions!$B$11)</f>
        <v>4964.2569955048975</v>
      </c>
      <c r="U8" s="43">
        <f>T8*(1+Assumptions!$B$11)</f>
        <v>5088.3634203925194</v>
      </c>
      <c r="V8" s="43">
        <f>U8*(1+Assumptions!$B$11)</f>
        <v>5215.5725059023316</v>
      </c>
      <c r="W8" s="43">
        <f>V8*(1+Assumptions!$B$11)</f>
        <v>5345.9618185498894</v>
      </c>
      <c r="X8" s="43">
        <f>W8*(1+Assumptions!$B$11)</f>
        <v>5479.6108640136363</v>
      </c>
      <c r="Y8" s="43">
        <f>X8*(1+Assumptions!$B$11)</f>
        <v>5616.601135613977</v>
      </c>
      <c r="Z8" s="40">
        <f>SUM(B8:M8)</f>
        <v>37113.870633970189</v>
      </c>
      <c r="AA8" s="40">
        <f>SUM(N8:Y8)</f>
        <v>59054.116598317873</v>
      </c>
      <c r="AB8" s="35"/>
      <c r="AC8" s="35"/>
    </row>
    <row r="9" spans="1:29" ht="16" x14ac:dyDescent="0.2">
      <c r="A9" s="44" t="s">
        <v>81</v>
      </c>
      <c r="B9" s="45">
        <f t="shared" ref="B9:Y9" si="0">SUM(B7:B8)</f>
        <v>12973.007319641794</v>
      </c>
      <c r="C9" s="45">
        <f t="shared" si="0"/>
        <v>13751.387758820303</v>
      </c>
      <c r="D9" s="45">
        <f t="shared" si="0"/>
        <v>14576.471024349523</v>
      </c>
      <c r="E9" s="45">
        <f t="shared" si="0"/>
        <v>15451.059285810494</v>
      </c>
      <c r="F9" s="45">
        <f t="shared" si="0"/>
        <v>16378.122842959125</v>
      </c>
      <c r="G9" s="45">
        <f t="shared" si="0"/>
        <v>17360.810213536672</v>
      </c>
      <c r="H9" s="45">
        <f t="shared" si="0"/>
        <v>18402.458826348873</v>
      </c>
      <c r="I9" s="45">
        <f t="shared" si="0"/>
        <v>19506.606355929805</v>
      </c>
      <c r="J9" s="45">
        <f t="shared" si="0"/>
        <v>20677.002737285595</v>
      </c>
      <c r="K9" s="45">
        <f t="shared" si="0"/>
        <v>21917.622901522733</v>
      </c>
      <c r="L9" s="45">
        <f t="shared" si="0"/>
        <v>23232.680275614097</v>
      </c>
      <c r="M9" s="45">
        <f t="shared" si="0"/>
        <v>24626.641092150945</v>
      </c>
      <c r="N9" s="45">
        <f t="shared" si="0"/>
        <v>25242.307119454716</v>
      </c>
      <c r="O9" s="45">
        <f t="shared" si="0"/>
        <v>25873.364797441081</v>
      </c>
      <c r="P9" s="45">
        <f t="shared" si="0"/>
        <v>26520.198917377107</v>
      </c>
      <c r="Q9" s="45">
        <f t="shared" si="0"/>
        <v>27183.203890311532</v>
      </c>
      <c r="R9" s="45">
        <f t="shared" si="0"/>
        <v>27862.783987569321</v>
      </c>
      <c r="S9" s="45">
        <f t="shared" si="0"/>
        <v>28559.353587258553</v>
      </c>
      <c r="T9" s="45">
        <f t="shared" si="0"/>
        <v>29273.337426940012</v>
      </c>
      <c r="U9" s="45">
        <f t="shared" si="0"/>
        <v>30005.170862613508</v>
      </c>
      <c r="V9" s="45">
        <f t="shared" si="0"/>
        <v>30755.300134178844</v>
      </c>
      <c r="W9" s="45">
        <f t="shared" si="0"/>
        <v>31524.182637533311</v>
      </c>
      <c r="X9" s="45">
        <f t="shared" si="0"/>
        <v>32312.287203471646</v>
      </c>
      <c r="Y9" s="45">
        <f t="shared" si="0"/>
        <v>33120.094383558433</v>
      </c>
      <c r="Z9" s="45">
        <f>SUM(B9:M9)</f>
        <v>218853.87063396996</v>
      </c>
      <c r="AA9" s="45">
        <f>SUM(N9:Y9)</f>
        <v>348231.58494770806</v>
      </c>
      <c r="AB9" s="35"/>
      <c r="AC9" s="35"/>
    </row>
    <row r="10" spans="1:29" ht="16" x14ac:dyDescent="0.2">
      <c r="A10" s="39" t="s">
        <v>82</v>
      </c>
      <c r="B10" s="40">
        <f>B7</f>
        <v>10773.007319641794</v>
      </c>
      <c r="C10" s="40">
        <f t="shared" ref="C10:Y10" si="1">B10+C7</f>
        <v>22192.395078462097</v>
      </c>
      <c r="D10" s="40">
        <f t="shared" si="1"/>
        <v>34296.94610281162</v>
      </c>
      <c r="E10" s="40">
        <f t="shared" si="1"/>
        <v>47127.770188622118</v>
      </c>
      <c r="F10" s="40">
        <f t="shared" si="1"/>
        <v>60728.443719581242</v>
      </c>
      <c r="G10" s="40">
        <f t="shared" si="1"/>
        <v>75145.15766239792</v>
      </c>
      <c r="H10" s="40">
        <f t="shared" si="1"/>
        <v>90426.874441783599</v>
      </c>
      <c r="I10" s="40">
        <f t="shared" si="1"/>
        <v>106625.49422793242</v>
      </c>
      <c r="J10" s="40">
        <f t="shared" si="1"/>
        <v>123796.03120125015</v>
      </c>
      <c r="K10" s="40">
        <f t="shared" si="1"/>
        <v>141996.80039296695</v>
      </c>
      <c r="L10" s="40">
        <f t="shared" si="1"/>
        <v>161289.61573618677</v>
      </c>
      <c r="M10" s="40">
        <f t="shared" si="1"/>
        <v>181739.99999999977</v>
      </c>
      <c r="N10" s="40">
        <f t="shared" si="1"/>
        <v>202701.64387040809</v>
      </c>
      <c r="O10" s="40">
        <f t="shared" si="1"/>
        <v>224187.32883757664</v>
      </c>
      <c r="P10" s="40">
        <f t="shared" si="1"/>
        <v>246210.15592892439</v>
      </c>
      <c r="Q10" s="40">
        <f t="shared" si="1"/>
        <v>268783.55369755585</v>
      </c>
      <c r="R10" s="40">
        <f t="shared" si="1"/>
        <v>291921.28641040309</v>
      </c>
      <c r="S10" s="40">
        <f t="shared" si="1"/>
        <v>315637.46244107152</v>
      </c>
      <c r="T10" s="40">
        <f t="shared" si="1"/>
        <v>339946.54287250666</v>
      </c>
      <c r="U10" s="40">
        <f t="shared" si="1"/>
        <v>364863.35031472764</v>
      </c>
      <c r="V10" s="40">
        <f t="shared" si="1"/>
        <v>390403.07794300414</v>
      </c>
      <c r="W10" s="40">
        <f t="shared" si="1"/>
        <v>416581.29876198759</v>
      </c>
      <c r="X10" s="40">
        <f t="shared" si="1"/>
        <v>443413.97510144563</v>
      </c>
      <c r="Y10" s="40">
        <f t="shared" si="1"/>
        <v>470917.46834939008</v>
      </c>
      <c r="Z10" s="40">
        <f>M10</f>
        <v>181739.99999999977</v>
      </c>
      <c r="AA10" s="40">
        <f>Y10</f>
        <v>470917.46834939008</v>
      </c>
      <c r="AB10" s="35"/>
      <c r="AC10" s="35"/>
    </row>
    <row r="11" spans="1:29" ht="16" x14ac:dyDescent="0.2">
      <c r="A11" s="39" t="s">
        <v>83</v>
      </c>
      <c r="B11" s="40">
        <f>B8</f>
        <v>2200</v>
      </c>
      <c r="C11" s="40">
        <f t="shared" ref="C11:Y11" si="2">B11+C8</f>
        <v>4532</v>
      </c>
      <c r="D11" s="40">
        <f t="shared" si="2"/>
        <v>7003.92</v>
      </c>
      <c r="E11" s="40">
        <f t="shared" si="2"/>
        <v>9624.1552000000011</v>
      </c>
      <c r="F11" s="40">
        <f t="shared" si="2"/>
        <v>12401.604512000002</v>
      </c>
      <c r="G11" s="40">
        <f t="shared" si="2"/>
        <v>15345.700782720003</v>
      </c>
      <c r="H11" s="40">
        <f t="shared" si="2"/>
        <v>18466.442829683205</v>
      </c>
      <c r="I11" s="40">
        <f t="shared" si="2"/>
        <v>21774.429399464199</v>
      </c>
      <c r="J11" s="40">
        <f t="shared" si="2"/>
        <v>25280.895163432051</v>
      </c>
      <c r="K11" s="40">
        <f t="shared" si="2"/>
        <v>28997.748873237975</v>
      </c>
      <c r="L11" s="40">
        <f t="shared" si="2"/>
        <v>32937.613805632252</v>
      </c>
      <c r="M11" s="40">
        <f t="shared" si="2"/>
        <v>37113.870633970189</v>
      </c>
      <c r="N11" s="40">
        <f t="shared" si="2"/>
        <v>41394.533883016571</v>
      </c>
      <c r="O11" s="40">
        <f t="shared" si="2"/>
        <v>45782.213713289115</v>
      </c>
      <c r="P11" s="40">
        <f t="shared" si="2"/>
        <v>50279.585539318476</v>
      </c>
      <c r="Q11" s="40">
        <f t="shared" si="2"/>
        <v>54889.391660998568</v>
      </c>
      <c r="R11" s="40">
        <f t="shared" si="2"/>
        <v>59614.442935720661</v>
      </c>
      <c r="S11" s="40">
        <f t="shared" si="2"/>
        <v>64457.620492310802</v>
      </c>
      <c r="T11" s="40">
        <f t="shared" si="2"/>
        <v>69421.877487815698</v>
      </c>
      <c r="U11" s="40">
        <f t="shared" si="2"/>
        <v>74510.240908208216</v>
      </c>
      <c r="V11" s="40">
        <f t="shared" si="2"/>
        <v>79725.81341411054</v>
      </c>
      <c r="W11" s="40">
        <f t="shared" si="2"/>
        <v>85071.775232660424</v>
      </c>
      <c r="X11" s="40">
        <f t="shared" si="2"/>
        <v>90551.386096674061</v>
      </c>
      <c r="Y11" s="40">
        <f t="shared" si="2"/>
        <v>96167.98723228804</v>
      </c>
      <c r="Z11" s="40">
        <f>M11</f>
        <v>37113.870633970189</v>
      </c>
      <c r="AA11" s="40">
        <f>Y11</f>
        <v>96167.98723228804</v>
      </c>
      <c r="AB11" s="35"/>
      <c r="AC11" s="35"/>
    </row>
    <row r="12" spans="1:29" ht="15" x14ac:dyDescent="0.2">
      <c r="A12" s="39"/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35"/>
      <c r="AC12" s="35"/>
    </row>
    <row r="13" spans="1:29" ht="16" x14ac:dyDescent="0.2">
      <c r="A13" s="41" t="s">
        <v>84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2"/>
      <c r="AC13" s="42"/>
    </row>
    <row r="14" spans="1:29" ht="16" x14ac:dyDescent="0.2">
      <c r="A14" s="39" t="s">
        <v>85</v>
      </c>
      <c r="B14" s="43">
        <f>B7*Assumptions!$B$12</f>
        <v>8618.4058557134358</v>
      </c>
      <c r="C14" s="43">
        <f>C7*Assumptions!$B$12</f>
        <v>9135.5102070562425</v>
      </c>
      <c r="D14" s="43">
        <f>D7*Assumptions!$B$12</f>
        <v>9683.6408194796186</v>
      </c>
      <c r="E14" s="43">
        <f>E7*Assumptions!$B$12</f>
        <v>10264.659268648396</v>
      </c>
      <c r="F14" s="43">
        <f>F7*Assumptions!$B$12</f>
        <v>10880.5388247673</v>
      </c>
      <c r="G14" s="43">
        <f>G7*Assumptions!$B$12</f>
        <v>11533.371154253338</v>
      </c>
      <c r="H14" s="43">
        <f>H7*Assumptions!$B$12</f>
        <v>12225.373423508539</v>
      </c>
      <c r="I14" s="43">
        <f>I7*Assumptions!$B$12</f>
        <v>12958.895828919052</v>
      </c>
      <c r="J14" s="43">
        <f>J7*Assumptions!$B$12</f>
        <v>13736.429578654195</v>
      </c>
      <c r="K14" s="43">
        <f>K7*Assumptions!$B$12</f>
        <v>14560.615353373447</v>
      </c>
      <c r="L14" s="43">
        <f>L7*Assumptions!$B$12</f>
        <v>15434.252274575856</v>
      </c>
      <c r="M14" s="43">
        <f>M7*Assumptions!$B$12</f>
        <v>16360.307411050408</v>
      </c>
      <c r="N14" s="43">
        <f>N7*Assumptions!$B$12</f>
        <v>16769.315096326663</v>
      </c>
      <c r="O14" s="43">
        <f>O7*Assumptions!$B$12</f>
        <v>17188.547973734832</v>
      </c>
      <c r="P14" s="43">
        <f>P7*Assumptions!$B$12</f>
        <v>17618.261673078199</v>
      </c>
      <c r="Q14" s="43">
        <f>Q7*Assumptions!$B$12</f>
        <v>18058.718214905155</v>
      </c>
      <c r="R14" s="43">
        <f>R7*Assumptions!$B$12</f>
        <v>18510.186170277782</v>
      </c>
      <c r="S14" s="43">
        <f>S7*Assumptions!$B$12</f>
        <v>18972.940824534726</v>
      </c>
      <c r="T14" s="43">
        <f>T7*Assumptions!$B$12</f>
        <v>19447.264345148094</v>
      </c>
      <c r="U14" s="43">
        <f>U7*Assumptions!$B$12</f>
        <v>19933.445953776794</v>
      </c>
      <c r="V14" s="43">
        <f>V7*Assumptions!$B$12</f>
        <v>20431.782102621211</v>
      </c>
      <c r="W14" s="43">
        <f>W7*Assumptions!$B$12</f>
        <v>20942.576655186742</v>
      </c>
      <c r="X14" s="43">
        <f>X7*Assumptions!$B$12</f>
        <v>21466.14107156641</v>
      </c>
      <c r="Y14" s="43">
        <f>Y7*Assumptions!$B$12</f>
        <v>22002.794598355569</v>
      </c>
      <c r="Z14" s="40">
        <f>SUM(B14:M14)</f>
        <v>145391.99999999983</v>
      </c>
      <c r="AA14" s="40">
        <f>SUM(N14:Y14)</f>
        <v>231341.97467951218</v>
      </c>
      <c r="AB14" s="35"/>
      <c r="AC14" s="35"/>
    </row>
    <row r="15" spans="1:29" ht="16" x14ac:dyDescent="0.2">
      <c r="A15" s="39" t="s">
        <v>86</v>
      </c>
      <c r="B15" s="43">
        <f>B8*Assumptions!$B$13</f>
        <v>1430</v>
      </c>
      <c r="C15" s="43">
        <f>C8*Assumptions!$B$13</f>
        <v>1515.8</v>
      </c>
      <c r="D15" s="43">
        <f>D8*Assumptions!$B$13</f>
        <v>1606.748</v>
      </c>
      <c r="E15" s="43">
        <f>E8*Assumptions!$B$13</f>
        <v>1703.1528800000001</v>
      </c>
      <c r="F15" s="43">
        <f>F8*Assumptions!$B$13</f>
        <v>1805.3420528000001</v>
      </c>
      <c r="G15" s="43">
        <f>G8*Assumptions!$B$13</f>
        <v>1913.6625759680005</v>
      </c>
      <c r="H15" s="43">
        <f>H8*Assumptions!$B$13</f>
        <v>2028.4823305260804</v>
      </c>
      <c r="I15" s="43">
        <f>I8*Assumptions!$B$13</f>
        <v>2150.1912703576454</v>
      </c>
      <c r="J15" s="43">
        <f>J8*Assumptions!$B$13</f>
        <v>2279.2027465791043</v>
      </c>
      <c r="K15" s="43">
        <f>K8*Assumptions!$B$13</f>
        <v>2415.9549113738503</v>
      </c>
      <c r="L15" s="43">
        <f>L8*Assumptions!$B$13</f>
        <v>2560.9122060562813</v>
      </c>
      <c r="M15" s="43">
        <f>M8*Assumptions!$B$13</f>
        <v>2714.5669384196585</v>
      </c>
      <c r="N15" s="43">
        <f>N8*Assumptions!$B$13</f>
        <v>2782.4311118801502</v>
      </c>
      <c r="O15" s="43">
        <f>O8*Assumptions!$B$13</f>
        <v>2851.9918896771537</v>
      </c>
      <c r="P15" s="43">
        <f>P8*Assumptions!$B$13</f>
        <v>2923.2916869190822</v>
      </c>
      <c r="Q15" s="43">
        <f>Q8*Assumptions!$B$13</f>
        <v>2996.373979092059</v>
      </c>
      <c r="R15" s="43">
        <f>R8*Assumptions!$B$13</f>
        <v>3071.2833285693605</v>
      </c>
      <c r="S15" s="43">
        <f>S8*Assumptions!$B$13</f>
        <v>3148.0654117835938</v>
      </c>
      <c r="T15" s="43">
        <f>T8*Assumptions!$B$13</f>
        <v>3226.7670470781836</v>
      </c>
      <c r="U15" s="43">
        <f>U8*Assumptions!$B$13</f>
        <v>3307.4362232551375</v>
      </c>
      <c r="V15" s="43">
        <f>V8*Assumptions!$B$13</f>
        <v>3390.1221288365155</v>
      </c>
      <c r="W15" s="43">
        <f>W8*Assumptions!$B$13</f>
        <v>3474.875182057428</v>
      </c>
      <c r="X15" s="43">
        <f>X8*Assumptions!$B$13</f>
        <v>3561.7470616088635</v>
      </c>
      <c r="Y15" s="43">
        <f>Y8*Assumptions!$B$13</f>
        <v>3650.790738149085</v>
      </c>
      <c r="Z15" s="40">
        <f>SUM(B15:M15)</f>
        <v>24124.01591208062</v>
      </c>
      <c r="AA15" s="40">
        <f>SUM(N15:Y15)</f>
        <v>38385.175788906614</v>
      </c>
      <c r="AB15" s="35"/>
      <c r="AC15" s="35"/>
    </row>
    <row r="16" spans="1:29" ht="16" x14ac:dyDescent="0.2">
      <c r="A16" s="39" t="s">
        <v>87</v>
      </c>
      <c r="B16" s="40">
        <f>B14</f>
        <v>8618.4058557134358</v>
      </c>
      <c r="C16" s="40">
        <f>B16*(1-Assumptions!$B$14)+C14</f>
        <v>17064.443594312605</v>
      </c>
      <c r="D16" s="40">
        <f>C16*(1-Assumptions!$B$14)+D14</f>
        <v>25382.928926247216</v>
      </c>
      <c r="E16" s="40">
        <f>D16*(1-Assumptions!$B$14)+E14</f>
        <v>33616.953880795831</v>
      </c>
      <c r="F16" s="40">
        <f>E16*(1-Assumptions!$B$14)+F14</f>
        <v>41808.136395099464</v>
      </c>
      <c r="G16" s="40">
        <f>F16*(1-Assumptions!$B$14)+G14</f>
        <v>49996.856637744844</v>
      </c>
      <c r="H16" s="40">
        <f>G16*(1-Assumptions!$B$14)+H14</f>
        <v>58222.481530233796</v>
      </c>
      <c r="I16" s="40">
        <f>H16*(1-Assumptions!$B$14)+I14</f>
        <v>66523.578836734145</v>
      </c>
      <c r="J16" s="40">
        <f>I16*(1-Assumptions!$B$14)+J14</f>
        <v>74938.122108449606</v>
      </c>
      <c r="K16" s="40">
        <f>J16*(1-Assumptions!$B$14)+K14</f>
        <v>83503.687693147091</v>
      </c>
      <c r="L16" s="40">
        <f>K16*(1-Assumptions!$B$14)+L14</f>
        <v>92257.644952271192</v>
      </c>
      <c r="M16" s="40">
        <f>L16*(1-Assumptions!$B$14)+M14</f>
        <v>101237.3407671399</v>
      </c>
      <c r="N16" s="40">
        <f>M16*(1-Assumptions!$B$14)+N14</f>
        <v>109907.66860209538</v>
      </c>
      <c r="O16" s="40">
        <f>N16*(1-Assumptions!$B$14)+O14</f>
        <v>118303.60308766259</v>
      </c>
      <c r="P16" s="40">
        <f>O16*(1-Assumptions!$B$14)+P14</f>
        <v>126457.57651372779</v>
      </c>
      <c r="Q16" s="40">
        <f>P16*(1-Assumptions!$B$14)+Q14</f>
        <v>134399.68860753474</v>
      </c>
      <c r="R16" s="40">
        <f>Q16*(1-Assumptions!$B$14)+R14</f>
        <v>142157.89968920976</v>
      </c>
      <c r="S16" s="40">
        <f>R16*(1-Assumptions!$B$14)+S14</f>
        <v>149758.20853860772</v>
      </c>
      <c r="T16" s="40">
        <f>S16*(1-Assumptions!$B$14)+T14</f>
        <v>157224.81620066721</v>
      </c>
      <c r="U16" s="40">
        <f>T16*(1-Assumptions!$B$14)+U14</f>
        <v>164580.27685839063</v>
      </c>
      <c r="V16" s="40">
        <f>U16*(1-Assumptions!$B$14)+V14</f>
        <v>171845.63681234061</v>
      </c>
      <c r="W16" s="40">
        <f>V16*(1-Assumptions!$B$14)+W14</f>
        <v>179040.5625225401</v>
      </c>
      <c r="X16" s="40">
        <f>W16*(1-Assumptions!$B$14)+X14</f>
        <v>186183.4585923033</v>
      </c>
      <c r="Y16" s="40">
        <f>X16*(1-Assumptions!$B$14)+Y14</f>
        <v>193291.57650327461</v>
      </c>
      <c r="Z16" s="40">
        <f>M16</f>
        <v>101237.3407671399</v>
      </c>
      <c r="AA16" s="40">
        <f>Y16</f>
        <v>193291.57650327461</v>
      </c>
      <c r="AB16" s="35"/>
      <c r="AC16" s="35"/>
    </row>
    <row r="17" spans="1:29" ht="16" x14ac:dyDescent="0.2">
      <c r="A17" s="39" t="s">
        <v>88</v>
      </c>
      <c r="B17" s="40">
        <f>B15</f>
        <v>1430</v>
      </c>
      <c r="C17" s="40">
        <f>B17*(1-Assumptions!$B$15)+C15</f>
        <v>2874.3</v>
      </c>
      <c r="D17" s="40">
        <f>C17*(1-Assumptions!$B$15)+D15</f>
        <v>4337.3330000000005</v>
      </c>
      <c r="E17" s="40">
        <f>D17*(1-Assumptions!$B$15)+E15</f>
        <v>5823.6192300000002</v>
      </c>
      <c r="F17" s="40">
        <f>E17*(1-Assumptions!$B$15)+F15</f>
        <v>7337.7803213000007</v>
      </c>
      <c r="G17" s="40">
        <f>F17*(1-Assumptions!$B$15)+G15</f>
        <v>8884.5538812030009</v>
      </c>
      <c r="H17" s="40">
        <f>G17*(1-Assumptions!$B$15)+H15</f>
        <v>10468.808517668931</v>
      </c>
      <c r="I17" s="40">
        <f>H17*(1-Assumptions!$B$15)+I15</f>
        <v>12095.559362143129</v>
      </c>
      <c r="J17" s="40">
        <f>I17*(1-Assumptions!$B$15)+J15</f>
        <v>13769.984140615077</v>
      </c>
      <c r="K17" s="40">
        <f>J17*(1-Assumptions!$B$15)+K15</f>
        <v>15497.439844958173</v>
      </c>
      <c r="L17" s="40">
        <f>K17*(1-Assumptions!$B$15)+L15</f>
        <v>17283.480058766545</v>
      </c>
      <c r="M17" s="40">
        <f>L17*(1-Assumptions!$B$15)+M15</f>
        <v>19133.872994247875</v>
      </c>
      <c r="N17" s="40">
        <f>M17*(1-Assumptions!$B$15)+N15</f>
        <v>20959.61045641563</v>
      </c>
      <c r="O17" s="40">
        <f>N17*(1-Assumptions!$B$15)+O15</f>
        <v>22763.621823271998</v>
      </c>
      <c r="P17" s="40">
        <f>O17*(1-Assumptions!$B$15)+P15</f>
        <v>24548.732419027478</v>
      </c>
      <c r="Q17" s="40">
        <f>P17*(1-Assumptions!$B$15)+Q15</f>
        <v>26317.669777168161</v>
      </c>
      <c r="R17" s="40">
        <f>Q17*(1-Assumptions!$B$15)+R15</f>
        <v>28073.069616879111</v>
      </c>
      <c r="S17" s="40">
        <f>R17*(1-Assumptions!$B$15)+S15</f>
        <v>29817.481547818748</v>
      </c>
      <c r="T17" s="40">
        <f>S17*(1-Assumptions!$B$15)+T15</f>
        <v>31553.374517505996</v>
      </c>
      <c r="U17" s="40">
        <f>T17*(1-Assumptions!$B$15)+U15</f>
        <v>33283.142014885831</v>
      </c>
      <c r="V17" s="40">
        <f>U17*(1-Assumptions!$B$15)+V15</f>
        <v>35009.107042978052</v>
      </c>
      <c r="W17" s="40">
        <f>V17*(1-Assumptions!$B$15)+W15</f>
        <v>36733.52687288657</v>
      </c>
      <c r="X17" s="40">
        <f>W17*(1-Assumptions!$B$15)+X15</f>
        <v>38458.597590851103</v>
      </c>
      <c r="Y17" s="40">
        <f>X17*(1-Assumptions!$B$15)+Y15</f>
        <v>40186.458449457634</v>
      </c>
      <c r="Z17" s="40">
        <f>M17</f>
        <v>19133.872994247875</v>
      </c>
      <c r="AA17" s="40">
        <f>Y17</f>
        <v>40186.458449457634</v>
      </c>
      <c r="AB17" s="35"/>
      <c r="AC17" s="35"/>
    </row>
    <row r="18" spans="1:29" ht="16" x14ac:dyDescent="0.2">
      <c r="A18" s="44" t="s">
        <v>89</v>
      </c>
      <c r="B18" s="45">
        <f t="shared" ref="B18:Y18" si="3">SUM(B16:B17)</f>
        <v>10048.405855713436</v>
      </c>
      <c r="C18" s="45">
        <f t="shared" si="3"/>
        <v>19938.743594312604</v>
      </c>
      <c r="D18" s="45">
        <f t="shared" si="3"/>
        <v>29720.261926247214</v>
      </c>
      <c r="E18" s="45">
        <f t="shared" si="3"/>
        <v>39440.573110795827</v>
      </c>
      <c r="F18" s="45">
        <f t="shared" si="3"/>
        <v>49145.916716399464</v>
      </c>
      <c r="G18" s="45">
        <f t="shared" si="3"/>
        <v>58881.410518947843</v>
      </c>
      <c r="H18" s="45">
        <f t="shared" si="3"/>
        <v>68691.29004790273</v>
      </c>
      <c r="I18" s="45">
        <f t="shared" si="3"/>
        <v>78619.138198877277</v>
      </c>
      <c r="J18" s="45">
        <f t="shared" si="3"/>
        <v>88708.106249064687</v>
      </c>
      <c r="K18" s="45">
        <f t="shared" si="3"/>
        <v>99001.127538105269</v>
      </c>
      <c r="L18" s="45">
        <f t="shared" si="3"/>
        <v>109541.12501103774</v>
      </c>
      <c r="M18" s="45">
        <f t="shared" si="3"/>
        <v>120371.21376138777</v>
      </c>
      <c r="N18" s="45">
        <f t="shared" si="3"/>
        <v>130867.27905851101</v>
      </c>
      <c r="O18" s="45">
        <f t="shared" si="3"/>
        <v>141067.22491093457</v>
      </c>
      <c r="P18" s="45">
        <f t="shared" si="3"/>
        <v>151006.30893275526</v>
      </c>
      <c r="Q18" s="45">
        <f t="shared" si="3"/>
        <v>160717.35838470291</v>
      </c>
      <c r="R18" s="45">
        <f t="shared" si="3"/>
        <v>170230.96930608887</v>
      </c>
      <c r="S18" s="45">
        <f t="shared" si="3"/>
        <v>179575.69008642648</v>
      </c>
      <c r="T18" s="45">
        <f t="shared" si="3"/>
        <v>188778.19071817319</v>
      </c>
      <c r="U18" s="45">
        <f t="shared" si="3"/>
        <v>197863.41887327645</v>
      </c>
      <c r="V18" s="45">
        <f t="shared" si="3"/>
        <v>206854.74385531867</v>
      </c>
      <c r="W18" s="45">
        <f t="shared" si="3"/>
        <v>215774.08939542668</v>
      </c>
      <c r="X18" s="45">
        <f t="shared" si="3"/>
        <v>224642.0561831544</v>
      </c>
      <c r="Y18" s="45">
        <f t="shared" si="3"/>
        <v>233478.03495273224</v>
      </c>
      <c r="Z18" s="45">
        <f>M18</f>
        <v>120371.21376138777</v>
      </c>
      <c r="AA18" s="45">
        <f>Y18</f>
        <v>233478.03495273224</v>
      </c>
      <c r="AB18" s="35"/>
      <c r="AC18" s="35"/>
    </row>
    <row r="19" spans="1:29" ht="15" x14ac:dyDescent="0.2">
      <c r="A19" s="39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35"/>
      <c r="AC19" s="35"/>
    </row>
    <row r="20" spans="1:29" ht="16" x14ac:dyDescent="0.2">
      <c r="A20" s="41" t="s">
        <v>90</v>
      </c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2"/>
      <c r="AC20" s="42"/>
    </row>
    <row r="21" spans="1:29" ht="16" x14ac:dyDescent="0.2">
      <c r="A21" s="39" t="s">
        <v>91</v>
      </c>
      <c r="B21" s="43">
        <f>B16*Assumptions!$B$16</f>
        <v>86184.058557134354</v>
      </c>
      <c r="C21" s="43">
        <f>C16*Assumptions!$B$16</f>
        <v>170644.43594312604</v>
      </c>
      <c r="D21" s="43">
        <f>D16*Assumptions!$B$16</f>
        <v>253829.28926247216</v>
      </c>
      <c r="E21" s="43">
        <f>E16*Assumptions!$B$16</f>
        <v>336169.53880795831</v>
      </c>
      <c r="F21" s="43">
        <f>F16*Assumptions!$B$16</f>
        <v>418081.36395099462</v>
      </c>
      <c r="G21" s="43">
        <f>G16*Assumptions!$B$16</f>
        <v>499968.56637744844</v>
      </c>
      <c r="H21" s="43">
        <f>H16*Assumptions!$B$16</f>
        <v>582224.81530233799</v>
      </c>
      <c r="I21" s="43">
        <f>I16*Assumptions!$B$16</f>
        <v>665235.78836734151</v>
      </c>
      <c r="J21" s="43">
        <f>J16*Assumptions!$B$16</f>
        <v>749381.22108449601</v>
      </c>
      <c r="K21" s="43">
        <f>K16*Assumptions!$B$16</f>
        <v>835036.87693147094</v>
      </c>
      <c r="L21" s="43">
        <f>L16*Assumptions!$B$16</f>
        <v>922576.44952271192</v>
      </c>
      <c r="M21" s="43">
        <f>M16*Assumptions!$B$16</f>
        <v>1012373.4076713991</v>
      </c>
      <c r="N21" s="43">
        <f>N16*Assumptions!$B$16</f>
        <v>1099076.6860209538</v>
      </c>
      <c r="O21" s="43">
        <f>O16*Assumptions!$B$16</f>
        <v>1183036.0308766258</v>
      </c>
      <c r="P21" s="43">
        <f>P16*Assumptions!$B$16</f>
        <v>1264575.765137278</v>
      </c>
      <c r="Q21" s="43">
        <f>Q16*Assumptions!$B$16</f>
        <v>1343996.8860753474</v>
      </c>
      <c r="R21" s="43">
        <f>R16*Assumptions!$B$16</f>
        <v>1421578.9968920976</v>
      </c>
      <c r="S21" s="43">
        <f>S16*Assumptions!$B$16</f>
        <v>1497582.0853860772</v>
      </c>
      <c r="T21" s="43">
        <f>T16*Assumptions!$B$16</f>
        <v>1572248.162006672</v>
      </c>
      <c r="U21" s="43">
        <f>U16*Assumptions!$B$16</f>
        <v>1645802.7685839063</v>
      </c>
      <c r="V21" s="43">
        <f>V16*Assumptions!$B$16</f>
        <v>1718456.3681234061</v>
      </c>
      <c r="W21" s="43">
        <f>W16*Assumptions!$B$16</f>
        <v>1790405.625225401</v>
      </c>
      <c r="X21" s="43">
        <f>X16*Assumptions!$B$16</f>
        <v>1861834.5859230331</v>
      </c>
      <c r="Y21" s="43">
        <f>Y16*Assumptions!$B$16</f>
        <v>1932915.7650327461</v>
      </c>
      <c r="Z21" s="40">
        <f t="shared" ref="Z21:Z26" si="4">SUM(B21:M21)</f>
        <v>6531705.8117788918</v>
      </c>
      <c r="AA21" s="40">
        <f t="shared" ref="AA21:AA26" si="5">SUM(N21:Y21)</f>
        <v>18331509.725283545</v>
      </c>
      <c r="AB21" s="35"/>
      <c r="AC21" s="35"/>
    </row>
    <row r="22" spans="1:29" ht="16" x14ac:dyDescent="0.2">
      <c r="A22" s="39" t="s">
        <v>92</v>
      </c>
      <c r="B22" s="43">
        <f>B17*Assumptions!$B$17</f>
        <v>21450</v>
      </c>
      <c r="C22" s="43">
        <f>C17*Assumptions!$B$17</f>
        <v>43114.5</v>
      </c>
      <c r="D22" s="43">
        <f>D17*Assumptions!$B$17</f>
        <v>65059.99500000001</v>
      </c>
      <c r="E22" s="43">
        <f>E17*Assumptions!$B$17</f>
        <v>87354.288450000007</v>
      </c>
      <c r="F22" s="43">
        <f>F17*Assumptions!$B$17</f>
        <v>110066.70481950001</v>
      </c>
      <c r="G22" s="43">
        <f>G17*Assumptions!$B$17</f>
        <v>133268.30821804501</v>
      </c>
      <c r="H22" s="43">
        <f>H17*Assumptions!$B$17</f>
        <v>157032.12776503398</v>
      </c>
      <c r="I22" s="43">
        <f>I17*Assumptions!$B$17</f>
        <v>181433.39043214693</v>
      </c>
      <c r="J22" s="43">
        <f>J17*Assumptions!$B$17</f>
        <v>206549.76210922617</v>
      </c>
      <c r="K22" s="43">
        <f>K17*Assumptions!$B$17</f>
        <v>232461.59767437261</v>
      </c>
      <c r="L22" s="43">
        <f>L17*Assumptions!$B$17</f>
        <v>259252.20088149817</v>
      </c>
      <c r="M22" s="43">
        <f>M17*Assumptions!$B$17</f>
        <v>287008.09491371812</v>
      </c>
      <c r="N22" s="43">
        <f>N17*Assumptions!$B$17</f>
        <v>314394.15684623446</v>
      </c>
      <c r="O22" s="43">
        <f>O17*Assumptions!$B$17</f>
        <v>341454.32734908001</v>
      </c>
      <c r="P22" s="43">
        <f>P17*Assumptions!$B$17</f>
        <v>368230.98628541216</v>
      </c>
      <c r="Q22" s="43">
        <f>Q17*Assumptions!$B$17</f>
        <v>394765.04665752244</v>
      </c>
      <c r="R22" s="43">
        <f>R17*Assumptions!$B$17</f>
        <v>421096.04425318667</v>
      </c>
      <c r="S22" s="43">
        <f>S17*Assumptions!$B$17</f>
        <v>447262.22321728122</v>
      </c>
      <c r="T22" s="43">
        <f>T17*Assumptions!$B$17</f>
        <v>473300.61776258994</v>
      </c>
      <c r="U22" s="43">
        <f>U17*Assumptions!$B$17</f>
        <v>499247.13022328744</v>
      </c>
      <c r="V22" s="43">
        <f>V17*Assumptions!$B$17</f>
        <v>525136.60564467078</v>
      </c>
      <c r="W22" s="43">
        <f>W17*Assumptions!$B$17</f>
        <v>551002.90309329855</v>
      </c>
      <c r="X22" s="43">
        <f>X17*Assumptions!$B$17</f>
        <v>576878.96386276651</v>
      </c>
      <c r="Y22" s="43">
        <f>Y17*Assumptions!$B$17</f>
        <v>602796.87674186449</v>
      </c>
      <c r="Z22" s="40">
        <f t="shared" si="4"/>
        <v>1784050.970263541</v>
      </c>
      <c r="AA22" s="40">
        <f t="shared" si="5"/>
        <v>5515565.8819371946</v>
      </c>
      <c r="AB22" s="35"/>
      <c r="AC22" s="35"/>
    </row>
    <row r="23" spans="1:29" ht="16" x14ac:dyDescent="0.2">
      <c r="A23" s="39" t="s">
        <v>93</v>
      </c>
      <c r="B23" s="40">
        <f t="shared" ref="B23:Y23" si="6">MIN(B21,B22)</f>
        <v>21450</v>
      </c>
      <c r="C23" s="40">
        <f t="shared" si="6"/>
        <v>43114.5</v>
      </c>
      <c r="D23" s="40">
        <f t="shared" si="6"/>
        <v>65059.99500000001</v>
      </c>
      <c r="E23" s="40">
        <f t="shared" si="6"/>
        <v>87354.288450000007</v>
      </c>
      <c r="F23" s="40">
        <f t="shared" si="6"/>
        <v>110066.70481950001</v>
      </c>
      <c r="G23" s="40">
        <f t="shared" si="6"/>
        <v>133268.30821804501</v>
      </c>
      <c r="H23" s="40">
        <f t="shared" si="6"/>
        <v>157032.12776503398</v>
      </c>
      <c r="I23" s="40">
        <f t="shared" si="6"/>
        <v>181433.39043214693</v>
      </c>
      <c r="J23" s="40">
        <f t="shared" si="6"/>
        <v>206549.76210922617</v>
      </c>
      <c r="K23" s="40">
        <f t="shared" si="6"/>
        <v>232461.59767437261</v>
      </c>
      <c r="L23" s="40">
        <f t="shared" si="6"/>
        <v>259252.20088149817</v>
      </c>
      <c r="M23" s="40">
        <f t="shared" si="6"/>
        <v>287008.09491371812</v>
      </c>
      <c r="N23" s="40">
        <f t="shared" si="6"/>
        <v>314394.15684623446</v>
      </c>
      <c r="O23" s="40">
        <f t="shared" si="6"/>
        <v>341454.32734908001</v>
      </c>
      <c r="P23" s="40">
        <f t="shared" si="6"/>
        <v>368230.98628541216</v>
      </c>
      <c r="Q23" s="40">
        <f t="shared" si="6"/>
        <v>394765.04665752244</v>
      </c>
      <c r="R23" s="40">
        <f t="shared" si="6"/>
        <v>421096.04425318667</v>
      </c>
      <c r="S23" s="40">
        <f t="shared" si="6"/>
        <v>447262.22321728122</v>
      </c>
      <c r="T23" s="40">
        <f t="shared" si="6"/>
        <v>473300.61776258994</v>
      </c>
      <c r="U23" s="40">
        <f t="shared" si="6"/>
        <v>499247.13022328744</v>
      </c>
      <c r="V23" s="40">
        <f t="shared" si="6"/>
        <v>525136.60564467078</v>
      </c>
      <c r="W23" s="40">
        <f t="shared" si="6"/>
        <v>551002.90309329855</v>
      </c>
      <c r="X23" s="40">
        <f t="shared" si="6"/>
        <v>576878.96386276651</v>
      </c>
      <c r="Y23" s="40">
        <f t="shared" si="6"/>
        <v>602796.87674186449</v>
      </c>
      <c r="Z23" s="40">
        <f t="shared" si="4"/>
        <v>1784050.970263541</v>
      </c>
      <c r="AA23" s="40">
        <f t="shared" si="5"/>
        <v>5515565.8819371946</v>
      </c>
      <c r="AB23" s="35"/>
      <c r="AC23" s="35"/>
    </row>
    <row r="24" spans="1:29" ht="16" x14ac:dyDescent="0.2">
      <c r="A24" s="44" t="s">
        <v>94</v>
      </c>
      <c r="B24" s="45">
        <f>B23*Assumptions!$B$18</f>
        <v>5362.5</v>
      </c>
      <c r="C24" s="45">
        <f>C23*Assumptions!$B$18</f>
        <v>10778.625</v>
      </c>
      <c r="D24" s="45">
        <f>D23*Assumptions!$B$18</f>
        <v>16264.998750000002</v>
      </c>
      <c r="E24" s="45">
        <f>E23*Assumptions!$B$18</f>
        <v>21838.572112500002</v>
      </c>
      <c r="F24" s="45">
        <f>F23*Assumptions!$B$18</f>
        <v>27516.676204875002</v>
      </c>
      <c r="G24" s="45">
        <f>G23*Assumptions!$B$18</f>
        <v>33317.077054511254</v>
      </c>
      <c r="H24" s="45">
        <f>H23*Assumptions!$B$18</f>
        <v>39258.031941258494</v>
      </c>
      <c r="I24" s="45">
        <f>I23*Assumptions!$B$18</f>
        <v>45358.347608036733</v>
      </c>
      <c r="J24" s="45">
        <f>J23*Assumptions!$B$18</f>
        <v>51637.440527306542</v>
      </c>
      <c r="K24" s="45">
        <f>K23*Assumptions!$B$18</f>
        <v>58115.399418593151</v>
      </c>
      <c r="L24" s="45">
        <f>L23*Assumptions!$B$18</f>
        <v>64813.050220374542</v>
      </c>
      <c r="M24" s="45">
        <f>M23*Assumptions!$B$18</f>
        <v>71752.023728429529</v>
      </c>
      <c r="N24" s="45">
        <f>N23*Assumptions!$B$18</f>
        <v>78598.539211558615</v>
      </c>
      <c r="O24" s="45">
        <f>O23*Assumptions!$B$18</f>
        <v>85363.581837270001</v>
      </c>
      <c r="P24" s="45">
        <f>P23*Assumptions!$B$18</f>
        <v>92057.74657135304</v>
      </c>
      <c r="Q24" s="45">
        <f>Q23*Assumptions!$B$18</f>
        <v>98691.26166438061</v>
      </c>
      <c r="R24" s="45">
        <f>R23*Assumptions!$B$18</f>
        <v>105274.01106329667</v>
      </c>
      <c r="S24" s="45">
        <f>S23*Assumptions!$B$18</f>
        <v>111815.55580432031</v>
      </c>
      <c r="T24" s="45">
        <f>T23*Assumptions!$B$18</f>
        <v>118325.15444064749</v>
      </c>
      <c r="U24" s="45">
        <f>U23*Assumptions!$B$18</f>
        <v>124811.78255582186</v>
      </c>
      <c r="V24" s="45">
        <f>V23*Assumptions!$B$18</f>
        <v>131284.1514111677</v>
      </c>
      <c r="W24" s="45">
        <f>W23*Assumptions!$B$18</f>
        <v>137750.72577332464</v>
      </c>
      <c r="X24" s="45">
        <f>X23*Assumptions!$B$18</f>
        <v>144219.74096569163</v>
      </c>
      <c r="Y24" s="45">
        <f>Y23*Assumptions!$B$18</f>
        <v>150699.21918546612</v>
      </c>
      <c r="Z24" s="45">
        <f t="shared" si="4"/>
        <v>446012.74256588524</v>
      </c>
      <c r="AA24" s="45">
        <f t="shared" si="5"/>
        <v>1378891.4704842987</v>
      </c>
      <c r="AB24" s="35"/>
      <c r="AC24" s="35"/>
    </row>
    <row r="25" spans="1:29" ht="16" x14ac:dyDescent="0.2">
      <c r="A25" s="44" t="s">
        <v>95</v>
      </c>
      <c r="B25" s="45">
        <f>B24*Assumptions!$B$19</f>
        <v>2681.25</v>
      </c>
      <c r="C25" s="45">
        <f>C24*Assumptions!$B$19</f>
        <v>5389.3125</v>
      </c>
      <c r="D25" s="45">
        <f>D24*Assumptions!$B$19</f>
        <v>8132.4993750000012</v>
      </c>
      <c r="E25" s="45">
        <f>E24*Assumptions!$B$19</f>
        <v>10919.286056250001</v>
      </c>
      <c r="F25" s="45">
        <f>F24*Assumptions!$B$19</f>
        <v>13758.338102437501</v>
      </c>
      <c r="G25" s="45">
        <f>G24*Assumptions!$B$19</f>
        <v>16658.538527255627</v>
      </c>
      <c r="H25" s="45">
        <f>H24*Assumptions!$B$19</f>
        <v>19629.015970629247</v>
      </c>
      <c r="I25" s="45">
        <f>I24*Assumptions!$B$19</f>
        <v>22679.173804018366</v>
      </c>
      <c r="J25" s="45">
        <f>J24*Assumptions!$B$19</f>
        <v>25818.720263653271</v>
      </c>
      <c r="K25" s="45">
        <f>K24*Assumptions!$B$19</f>
        <v>29057.699709296576</v>
      </c>
      <c r="L25" s="45">
        <f>L24*Assumptions!$B$19</f>
        <v>32406.525110187271</v>
      </c>
      <c r="M25" s="45">
        <f>M24*Assumptions!$B$19</f>
        <v>35876.011864214765</v>
      </c>
      <c r="N25" s="45">
        <f>N24*Assumptions!$B$19</f>
        <v>39299.269605779307</v>
      </c>
      <c r="O25" s="45">
        <f>O24*Assumptions!$B$19</f>
        <v>42681.790918635001</v>
      </c>
      <c r="P25" s="45">
        <f>P24*Assumptions!$B$19</f>
        <v>46028.87328567652</v>
      </c>
      <c r="Q25" s="45">
        <f>Q24*Assumptions!$B$19</f>
        <v>49345.630832190305</v>
      </c>
      <c r="R25" s="45">
        <f>R24*Assumptions!$B$19</f>
        <v>52637.005531648334</v>
      </c>
      <c r="S25" s="45">
        <f>S24*Assumptions!$B$19</f>
        <v>55907.777902160153</v>
      </c>
      <c r="T25" s="45">
        <f>T24*Assumptions!$B$19</f>
        <v>59162.577220323743</v>
      </c>
      <c r="U25" s="45">
        <f>U24*Assumptions!$B$19</f>
        <v>62405.891277910931</v>
      </c>
      <c r="V25" s="45">
        <f>V24*Assumptions!$B$19</f>
        <v>65642.075705583848</v>
      </c>
      <c r="W25" s="45">
        <f>W24*Assumptions!$B$19</f>
        <v>68875.362886662318</v>
      </c>
      <c r="X25" s="45">
        <f>X24*Assumptions!$B$19</f>
        <v>72109.870482845814</v>
      </c>
      <c r="Y25" s="45">
        <f>Y24*Assumptions!$B$19</f>
        <v>75349.609592733061</v>
      </c>
      <c r="Z25" s="45">
        <f t="shared" si="4"/>
        <v>223006.37128294262</v>
      </c>
      <c r="AA25" s="45">
        <f t="shared" si="5"/>
        <v>689445.73524214933</v>
      </c>
      <c r="AB25" s="35"/>
      <c r="AC25" s="35"/>
    </row>
    <row r="26" spans="1:29" ht="16" x14ac:dyDescent="0.2">
      <c r="A26" s="44" t="s">
        <v>96</v>
      </c>
      <c r="B26" s="45">
        <f>B25*Assumptions!$B$20</f>
        <v>268.125</v>
      </c>
      <c r="C26" s="45">
        <f>C25*Assumptions!$B$20</f>
        <v>538.93124999999998</v>
      </c>
      <c r="D26" s="45">
        <f>D25*Assumptions!$B$20</f>
        <v>813.24993750000021</v>
      </c>
      <c r="E26" s="45">
        <f>E25*Assumptions!$B$20</f>
        <v>1091.928605625</v>
      </c>
      <c r="F26" s="45">
        <f>F25*Assumptions!$B$20</f>
        <v>1375.8338102437501</v>
      </c>
      <c r="G26" s="45">
        <f>G25*Assumptions!$B$20</f>
        <v>1665.8538527255628</v>
      </c>
      <c r="H26" s="45">
        <f>H25*Assumptions!$B$20</f>
        <v>1962.9015970629248</v>
      </c>
      <c r="I26" s="45">
        <f>I25*Assumptions!$B$20</f>
        <v>2267.9173804018369</v>
      </c>
      <c r="J26" s="45">
        <f>J25*Assumptions!$B$20</f>
        <v>2581.8720263653272</v>
      </c>
      <c r="K26" s="45">
        <f>K25*Assumptions!$B$20</f>
        <v>2905.7699709296576</v>
      </c>
      <c r="L26" s="45">
        <f>L25*Assumptions!$B$20</f>
        <v>3240.6525110187272</v>
      </c>
      <c r="M26" s="45">
        <f>M25*Assumptions!$B$20</f>
        <v>3587.6011864214765</v>
      </c>
      <c r="N26" s="45">
        <f>N25*Assumptions!$B$20</f>
        <v>3929.9269605779309</v>
      </c>
      <c r="O26" s="45">
        <f>O25*Assumptions!$B$20</f>
        <v>4268.1790918635006</v>
      </c>
      <c r="P26" s="45">
        <f>P25*Assumptions!$B$20</f>
        <v>4602.8873285676518</v>
      </c>
      <c r="Q26" s="45">
        <f>Q25*Assumptions!$B$20</f>
        <v>4934.5630832190309</v>
      </c>
      <c r="R26" s="45">
        <f>R25*Assumptions!$B$20</f>
        <v>5263.7005531648338</v>
      </c>
      <c r="S26" s="45">
        <f>S25*Assumptions!$B$20</f>
        <v>5590.777790216016</v>
      </c>
      <c r="T26" s="45">
        <f>T25*Assumptions!$B$20</f>
        <v>5916.2577220323747</v>
      </c>
      <c r="U26" s="45">
        <f>U25*Assumptions!$B$20</f>
        <v>6240.5891277910932</v>
      </c>
      <c r="V26" s="45">
        <f>V25*Assumptions!$B$20</f>
        <v>6564.2075705583848</v>
      </c>
      <c r="W26" s="45">
        <f>W25*Assumptions!$B$20</f>
        <v>6887.5362886662324</v>
      </c>
      <c r="X26" s="45">
        <f>X25*Assumptions!$B$20</f>
        <v>7210.9870482845818</v>
      </c>
      <c r="Y26" s="45">
        <f>Y25*Assumptions!$B$20</f>
        <v>7534.9609592733068</v>
      </c>
      <c r="Z26" s="45">
        <f t="shared" si="4"/>
        <v>22300.637128294264</v>
      </c>
      <c r="AA26" s="45">
        <f t="shared" si="5"/>
        <v>68944.573524214939</v>
      </c>
      <c r="AB26" s="35"/>
      <c r="AC26" s="35"/>
    </row>
    <row r="27" spans="1:29" ht="15" x14ac:dyDescent="0.2">
      <c r="A27" s="39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35"/>
      <c r="AC27" s="35"/>
    </row>
    <row r="28" spans="1:29" ht="16" x14ac:dyDescent="0.2">
      <c r="A28" s="41" t="s">
        <v>97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2"/>
      <c r="AC28" s="42"/>
    </row>
    <row r="29" spans="1:29" ht="16" x14ac:dyDescent="0.2">
      <c r="A29" s="39" t="s">
        <v>98</v>
      </c>
      <c r="B29" s="43">
        <f>IF(Assumptions!$B$22=0,B26,IF(Assumptions!$B$22=1,0,IF(Assumptions!$B$22=2,0,IF(Assumptions!$B$22=3,0,IF(Assumptions!$B$22=4,0,IF(Assumptions!$B$22=5,0,IF(Assumptions!$B$22=6,0,IF(Assumptions!$B$22=7,0,IF(Assumptions!$B$22=8,0,IF(Assumptions!$B$22=9,0,IF(Assumptions!$B$22=10,0,IF(Assumptions!$B$22=11,0,IF(Assumptions!$B$22=12,0,0)))))))))))))</f>
        <v>0</v>
      </c>
      <c r="C29" s="43">
        <f>IF(Assumptions!$B$22=0,C26,IF(Assumptions!$B$22=1,B26,IF(Assumptions!$B$22=2,0,IF(Assumptions!$B$22=3,0,IF(Assumptions!$B$22=4,0,IF(Assumptions!$B$22=5,0,IF(Assumptions!$B$22=6,0,IF(Assumptions!$B$22=7,0,IF(Assumptions!$B$22=8,0,IF(Assumptions!$B$22=9,0,IF(Assumptions!$B$22=10,0,IF(Assumptions!$B$22=11,0,IF(Assumptions!$B$22=12,0,0)))))))))))))</f>
        <v>0</v>
      </c>
      <c r="D29" s="43">
        <f>IF(Assumptions!$B$22=0,D26,IF(Assumptions!$B$22=1,C26,IF(Assumptions!$B$22=2,B26,IF(Assumptions!$B$22=3,0,IF(Assumptions!$B$22=4,0,IF(Assumptions!$B$22=5,0,IF(Assumptions!$B$22=6,0,IF(Assumptions!$B$22=7,0,IF(Assumptions!$B$22=8,0,IF(Assumptions!$B$22=9,0,IF(Assumptions!$B$22=10,0,IF(Assumptions!$B$22=11,0,IF(Assumptions!$B$22=12,0,0)))))))))))))</f>
        <v>0</v>
      </c>
      <c r="E29" s="43">
        <f>IF(Assumptions!$B$22=0,E26,IF(Assumptions!$B$22=1,D26,IF(Assumptions!$B$22=2,C26,IF(Assumptions!$B$22=3,B26,IF(Assumptions!$B$22=4,0,IF(Assumptions!$B$22=5,0,IF(Assumptions!$B$22=6,0,IF(Assumptions!$B$22=7,0,IF(Assumptions!$B$22=8,0,IF(Assumptions!$B$22=9,0,IF(Assumptions!$B$22=10,0,IF(Assumptions!$B$22=11,0,IF(Assumptions!$B$22=12,0,0)))))))))))))</f>
        <v>268.125</v>
      </c>
      <c r="F29" s="43">
        <f>IF(Assumptions!$B$22=0,F26,IF(Assumptions!$B$22=1,E26,IF(Assumptions!$B$22=2,D26,IF(Assumptions!$B$22=3,C26,IF(Assumptions!$B$22=4,B26,IF(Assumptions!$B$22=5,0,IF(Assumptions!$B$22=6,0,IF(Assumptions!$B$22=7,0,IF(Assumptions!$B$22=8,0,IF(Assumptions!$B$22=9,0,IF(Assumptions!$B$22=10,0,IF(Assumptions!$B$22=11,0,IF(Assumptions!$B$22=12,0,0)))))))))))))</f>
        <v>538.93124999999998</v>
      </c>
      <c r="G29" s="43">
        <f>IF(Assumptions!$B$22=0,G26,IF(Assumptions!$B$22=1,F26,IF(Assumptions!$B$22=2,E26,IF(Assumptions!$B$22=3,D26,IF(Assumptions!$B$22=4,C26,IF(Assumptions!$B$22=5,B26,IF(Assumptions!$B$22=6,0,IF(Assumptions!$B$22=7,0,IF(Assumptions!$B$22=8,0,IF(Assumptions!$B$22=9,0,IF(Assumptions!$B$22=10,0,IF(Assumptions!$B$22=11,0,IF(Assumptions!$B$22=12,0,0)))))))))))))</f>
        <v>813.24993750000021</v>
      </c>
      <c r="H29" s="43">
        <f>IF(Assumptions!$B$22=0,H26,IF(Assumptions!$B$22=1,G26,IF(Assumptions!$B$22=2,F26,IF(Assumptions!$B$22=3,E26,IF(Assumptions!$B$22=4,D26,IF(Assumptions!$B$22=5,C26,IF(Assumptions!$B$22=6,B26,IF(Assumptions!$B$22=7,0,IF(Assumptions!$B$22=8,0,IF(Assumptions!$B$22=9,0,IF(Assumptions!$B$22=10,0,IF(Assumptions!$B$22=11,0,IF(Assumptions!$B$22=12,0,0)))))))))))))</f>
        <v>1091.928605625</v>
      </c>
      <c r="I29" s="43">
        <f>IF(Assumptions!$B$22=0,I26,IF(Assumptions!$B$22=1,H26,IF(Assumptions!$B$22=2,G26,IF(Assumptions!$B$22=3,F26,IF(Assumptions!$B$22=4,E26,IF(Assumptions!$B$22=5,D26,IF(Assumptions!$B$22=6,C26,IF(Assumptions!$B$22=7,B26,IF(Assumptions!$B$22=8,0,IF(Assumptions!$B$22=9,0,IF(Assumptions!$B$22=10,0,IF(Assumptions!$B$22=11,0,IF(Assumptions!$B$22=12,0,0)))))))))))))</f>
        <v>1375.8338102437501</v>
      </c>
      <c r="J29" s="43">
        <f>IF(Assumptions!$B$22=0,J26,IF(Assumptions!$B$22=1,I26,IF(Assumptions!$B$22=2,H26,IF(Assumptions!$B$22=3,G26,IF(Assumptions!$B$22=4,F26,IF(Assumptions!$B$22=5,E26,IF(Assumptions!$B$22=6,D26,IF(Assumptions!$B$22=7,C26,IF(Assumptions!$B$22=8,B26,IF(Assumptions!$B$22=9,0,IF(Assumptions!$B$22=10,0,IF(Assumptions!$B$22=11,0,IF(Assumptions!$B$22=12,0,0)))))))))))))</f>
        <v>1665.8538527255628</v>
      </c>
      <c r="K29" s="43">
        <f>IF(Assumptions!$B$22=0,K26,IF(Assumptions!$B$22=1,J26,IF(Assumptions!$B$22=2,I26,IF(Assumptions!$B$22=3,H26,IF(Assumptions!$B$22=4,G26,IF(Assumptions!$B$22=5,F26,IF(Assumptions!$B$22=6,E26,IF(Assumptions!$B$22=7,D26,IF(Assumptions!$B$22=8,C26,IF(Assumptions!$B$22=9,B26,IF(Assumptions!$B$22=10,0,IF(Assumptions!$B$22=11,0,IF(Assumptions!$B$22=12,0,0)))))))))))))</f>
        <v>1962.9015970629248</v>
      </c>
      <c r="L29" s="43">
        <f>IF(Assumptions!$B$22=0,L26,IF(Assumptions!$B$22=1,K26,IF(Assumptions!$B$22=2,J26,IF(Assumptions!$B$22=3,I26,IF(Assumptions!$B$22=4,H26,IF(Assumptions!$B$22=5,G26,IF(Assumptions!$B$22=6,F26,IF(Assumptions!$B$22=7,E26,IF(Assumptions!$B$22=8,D26,IF(Assumptions!$B$22=9,C26,IF(Assumptions!$B$22=10,B26,IF(Assumptions!$B$22=11,0,IF(Assumptions!$B$22=12,0,0)))))))))))))</f>
        <v>2267.9173804018369</v>
      </c>
      <c r="M29" s="43">
        <f>IF(Assumptions!$B$22=0,M26,IF(Assumptions!$B$22=1,L26,IF(Assumptions!$B$22=2,K26,IF(Assumptions!$B$22=3,J26,IF(Assumptions!$B$22=4,I26,IF(Assumptions!$B$22=5,H26,IF(Assumptions!$B$22=6,G26,IF(Assumptions!$B$22=7,F26,IF(Assumptions!$B$22=8,E26,IF(Assumptions!$B$22=9,D26,IF(Assumptions!$B$22=10,C26,IF(Assumptions!$B$22=11,B26,IF(Assumptions!$B$22=12,0,0)))))))))))))</f>
        <v>2581.8720263653272</v>
      </c>
      <c r="N29" s="43">
        <f>IF(Assumptions!$B$22=0,N26,IF(Assumptions!$B$22=1,M26,IF(Assumptions!$B$22=2,L26,IF(Assumptions!$B$22=3,K26,IF(Assumptions!$B$22=4,J26,IF(Assumptions!$B$22=5,I26,IF(Assumptions!$B$22=6,H26,IF(Assumptions!$B$22=7,G26,IF(Assumptions!$B$22=8,F26,IF(Assumptions!$B$22=9,E26,IF(Assumptions!$B$22=10,D26,IF(Assumptions!$B$22=11,C26,IF(Assumptions!$B$22=12,B26,0)))))))))))))</f>
        <v>2905.7699709296576</v>
      </c>
      <c r="O29" s="43">
        <f>IF(Assumptions!$B$22=0,O26,IF(Assumptions!$B$22=1,N26,IF(Assumptions!$B$22=2,M26,IF(Assumptions!$B$22=3,L26,IF(Assumptions!$B$22=4,K26,IF(Assumptions!$B$22=5,J26,IF(Assumptions!$B$22=6,I26,IF(Assumptions!$B$22=7,H26,IF(Assumptions!$B$22=8,G26,IF(Assumptions!$B$22=9,F26,IF(Assumptions!$B$22=10,E26,IF(Assumptions!$B$22=11,D26,IF(Assumptions!$B$22=12,C26,0)))))))))))))</f>
        <v>3240.6525110187272</v>
      </c>
      <c r="P29" s="43">
        <f>IF(Assumptions!$B$22=0,P26,IF(Assumptions!$B$22=1,O26,IF(Assumptions!$B$22=2,N26,IF(Assumptions!$B$22=3,M26,IF(Assumptions!$B$22=4,L26,IF(Assumptions!$B$22=5,K26,IF(Assumptions!$B$22=6,J26,IF(Assumptions!$B$22=7,I26,IF(Assumptions!$B$22=8,H26,IF(Assumptions!$B$22=9,G26,IF(Assumptions!$B$22=10,F26,IF(Assumptions!$B$22=11,E26,IF(Assumptions!$B$22=12,D26,0)))))))))))))</f>
        <v>3587.6011864214765</v>
      </c>
      <c r="Q29" s="43">
        <f>IF(Assumptions!$B$22=0,Q26,IF(Assumptions!$B$22=1,P26,IF(Assumptions!$B$22=2,O26,IF(Assumptions!$B$22=3,N26,IF(Assumptions!$B$22=4,M26,IF(Assumptions!$B$22=5,L26,IF(Assumptions!$B$22=6,K26,IF(Assumptions!$B$22=7,J26,IF(Assumptions!$B$22=8,I26,IF(Assumptions!$B$22=9,H26,IF(Assumptions!$B$22=10,G26,IF(Assumptions!$B$22=11,F26,IF(Assumptions!$B$22=12,E26,0)))))))))))))</f>
        <v>3929.9269605779309</v>
      </c>
      <c r="R29" s="43">
        <f>IF(Assumptions!$B$22=0,R26,IF(Assumptions!$B$22=1,Q26,IF(Assumptions!$B$22=2,P26,IF(Assumptions!$B$22=3,O26,IF(Assumptions!$B$22=4,N26,IF(Assumptions!$B$22=5,M26,IF(Assumptions!$B$22=6,L26,IF(Assumptions!$B$22=7,K26,IF(Assumptions!$B$22=8,J26,IF(Assumptions!$B$22=9,I26,IF(Assumptions!$B$22=10,H26,IF(Assumptions!$B$22=11,G26,IF(Assumptions!$B$22=12,F26,0)))))))))))))</f>
        <v>4268.1790918635006</v>
      </c>
      <c r="S29" s="43">
        <f>IF(Assumptions!$B$22=0,S26,IF(Assumptions!$B$22=1,R26,IF(Assumptions!$B$22=2,Q26,IF(Assumptions!$B$22=3,P26,IF(Assumptions!$B$22=4,O26,IF(Assumptions!$B$22=5,N26,IF(Assumptions!$B$22=6,M26,IF(Assumptions!$B$22=7,L26,IF(Assumptions!$B$22=8,K26,IF(Assumptions!$B$22=9,J26,IF(Assumptions!$B$22=10,I26,IF(Assumptions!$B$22=11,H26,IF(Assumptions!$B$22=12,G26,0)))))))))))))</f>
        <v>4602.8873285676518</v>
      </c>
      <c r="T29" s="43">
        <f>IF(Assumptions!$B$22=0,T26,IF(Assumptions!$B$22=1,S26,IF(Assumptions!$B$22=2,R26,IF(Assumptions!$B$22=3,Q26,IF(Assumptions!$B$22=4,P26,IF(Assumptions!$B$22=5,O26,IF(Assumptions!$B$22=6,N26,IF(Assumptions!$B$22=7,M26,IF(Assumptions!$B$22=8,L26,IF(Assumptions!$B$22=9,K26,IF(Assumptions!$B$22=10,J26,IF(Assumptions!$B$22=11,I26,IF(Assumptions!$B$22=12,H26,0)))))))))))))</f>
        <v>4934.5630832190309</v>
      </c>
      <c r="U29" s="43">
        <f>IF(Assumptions!$B$22=0,U26,IF(Assumptions!$B$22=1,T26,IF(Assumptions!$B$22=2,S26,IF(Assumptions!$B$22=3,R26,IF(Assumptions!$B$22=4,Q26,IF(Assumptions!$B$22=5,P26,IF(Assumptions!$B$22=6,O26,IF(Assumptions!$B$22=7,N26,IF(Assumptions!$B$22=8,M26,IF(Assumptions!$B$22=9,L26,IF(Assumptions!$B$22=10,K26,IF(Assumptions!$B$22=11,J26,IF(Assumptions!$B$22=12,I26,0)))))))))))))</f>
        <v>5263.7005531648338</v>
      </c>
      <c r="V29" s="43">
        <f>IF(Assumptions!$B$22=0,V26,IF(Assumptions!$B$22=1,U26,IF(Assumptions!$B$22=2,T26,IF(Assumptions!$B$22=3,S26,IF(Assumptions!$B$22=4,R26,IF(Assumptions!$B$22=5,Q26,IF(Assumptions!$B$22=6,P26,IF(Assumptions!$B$22=7,O26,IF(Assumptions!$B$22=8,N26,IF(Assumptions!$B$22=9,M26,IF(Assumptions!$B$22=10,L26,IF(Assumptions!$B$22=11,K26,IF(Assumptions!$B$22=12,J26,0)))))))))))))</f>
        <v>5590.777790216016</v>
      </c>
      <c r="W29" s="43">
        <f>IF(Assumptions!$B$22=0,W26,IF(Assumptions!$B$22=1,V26,IF(Assumptions!$B$22=2,U26,IF(Assumptions!$B$22=3,T26,IF(Assumptions!$B$22=4,S26,IF(Assumptions!$B$22=5,R26,IF(Assumptions!$B$22=6,Q26,IF(Assumptions!$B$22=7,P26,IF(Assumptions!$B$22=8,O26,IF(Assumptions!$B$22=9,N26,IF(Assumptions!$B$22=10,M26,IF(Assumptions!$B$22=11,L26,IF(Assumptions!$B$22=12,K26,0)))))))))))))</f>
        <v>5916.2577220323747</v>
      </c>
      <c r="X29" s="43">
        <f>IF(Assumptions!$B$22=0,X26,IF(Assumptions!$B$22=1,W26,IF(Assumptions!$B$22=2,V26,IF(Assumptions!$B$22=3,U26,IF(Assumptions!$B$22=4,T26,IF(Assumptions!$B$22=5,S26,IF(Assumptions!$B$22=6,R26,IF(Assumptions!$B$22=7,Q26,IF(Assumptions!$B$22=8,P26,IF(Assumptions!$B$22=9,O26,IF(Assumptions!$B$22=10,N26,IF(Assumptions!$B$22=11,M26,IF(Assumptions!$B$22=12,L26,0)))))))))))))</f>
        <v>6240.5891277910932</v>
      </c>
      <c r="Y29" s="43">
        <f>IF(Assumptions!$B$22=0,Y26,IF(Assumptions!$B$22=1,X26,IF(Assumptions!$B$22=2,W26,IF(Assumptions!$B$22=3,V26,IF(Assumptions!$B$22=4,U26,IF(Assumptions!$B$22=5,T26,IF(Assumptions!$B$22=6,S26,IF(Assumptions!$B$22=7,R26,IF(Assumptions!$B$22=8,Q26,IF(Assumptions!$B$22=9,P26,IF(Assumptions!$B$22=10,O26,IF(Assumptions!$B$22=11,N26,IF(Assumptions!$B$22=12,M26,0)))))))))))))</f>
        <v>6564.2075705583848</v>
      </c>
      <c r="Z29" s="40">
        <f>SUM(B29:M29)</f>
        <v>12566.613459924401</v>
      </c>
      <c r="AA29" s="40">
        <f>SUM(N29:Y29)</f>
        <v>57045.112896360675</v>
      </c>
      <c r="AB29" s="35"/>
      <c r="AC29" s="35"/>
    </row>
    <row r="30" spans="1:29" ht="16" x14ac:dyDescent="0.2">
      <c r="A30" s="44" t="s">
        <v>99</v>
      </c>
      <c r="B30" s="45">
        <f>B29*Assumptions!$B$21</f>
        <v>0</v>
      </c>
      <c r="C30" s="45">
        <f>C29*Assumptions!$B$21</f>
        <v>0</v>
      </c>
      <c r="D30" s="45">
        <f>D29*Assumptions!$B$21</f>
        <v>0</v>
      </c>
      <c r="E30" s="45">
        <f>E29*Assumptions!$B$21</f>
        <v>80.4375</v>
      </c>
      <c r="F30" s="45">
        <f>F29*Assumptions!$B$21</f>
        <v>161.67937499999999</v>
      </c>
      <c r="G30" s="45">
        <f>G29*Assumptions!$B$21</f>
        <v>243.97498125000004</v>
      </c>
      <c r="H30" s="45">
        <f>H29*Assumptions!$B$21</f>
        <v>327.57858168749999</v>
      </c>
      <c r="I30" s="45">
        <f>I29*Assumptions!$B$21</f>
        <v>412.750143073125</v>
      </c>
      <c r="J30" s="45">
        <f>J29*Assumptions!$B$21</f>
        <v>499.7561558176688</v>
      </c>
      <c r="K30" s="45">
        <f>K29*Assumptions!$B$21</f>
        <v>588.87047911887737</v>
      </c>
      <c r="L30" s="45">
        <f>L29*Assumptions!$B$21</f>
        <v>680.37521412055105</v>
      </c>
      <c r="M30" s="45">
        <f>M29*Assumptions!$B$21</f>
        <v>774.56160790959814</v>
      </c>
      <c r="N30" s="45">
        <f>N29*Assumptions!$B$21</f>
        <v>871.73099127889725</v>
      </c>
      <c r="O30" s="45">
        <f>O29*Assumptions!$B$21</f>
        <v>972.19575330561815</v>
      </c>
      <c r="P30" s="45">
        <f>P29*Assumptions!$B$21</f>
        <v>1076.280355926443</v>
      </c>
      <c r="Q30" s="45">
        <f>Q29*Assumptions!$B$21</f>
        <v>1178.9780881733793</v>
      </c>
      <c r="R30" s="45">
        <f>R29*Assumptions!$B$21</f>
        <v>1280.4537275590501</v>
      </c>
      <c r="S30" s="45">
        <f>S29*Assumptions!$B$21</f>
        <v>1380.8661985702954</v>
      </c>
      <c r="T30" s="45">
        <f>T29*Assumptions!$B$21</f>
        <v>1480.3689249657093</v>
      </c>
      <c r="U30" s="45">
        <f>U29*Assumptions!$B$21</f>
        <v>1579.11016594945</v>
      </c>
      <c r="V30" s="45">
        <f>V29*Assumptions!$B$21</f>
        <v>1677.2333370648048</v>
      </c>
      <c r="W30" s="45">
        <f>W29*Assumptions!$B$21</f>
        <v>1774.8773166097124</v>
      </c>
      <c r="X30" s="45">
        <f>X29*Assumptions!$B$21</f>
        <v>1872.1767383373278</v>
      </c>
      <c r="Y30" s="45">
        <f>Y29*Assumptions!$B$21</f>
        <v>1969.2622711675153</v>
      </c>
      <c r="Z30" s="45">
        <f>SUM(B30:M30)</f>
        <v>3769.98403797732</v>
      </c>
      <c r="AA30" s="45">
        <f>SUM(N30:Y30)</f>
        <v>17113.533868908205</v>
      </c>
      <c r="AB30" s="35"/>
      <c r="AC30" s="35"/>
    </row>
    <row r="31" spans="1:29" ht="16" x14ac:dyDescent="0.2">
      <c r="A31" s="39" t="s">
        <v>100</v>
      </c>
      <c r="B31" s="40">
        <f>B30</f>
        <v>0</v>
      </c>
      <c r="C31" s="40">
        <f t="shared" ref="C31:Y31" si="7">B31+C30</f>
        <v>0</v>
      </c>
      <c r="D31" s="40">
        <f t="shared" si="7"/>
        <v>0</v>
      </c>
      <c r="E31" s="40">
        <f t="shared" si="7"/>
        <v>80.4375</v>
      </c>
      <c r="F31" s="40">
        <f t="shared" si="7"/>
        <v>242.11687499999999</v>
      </c>
      <c r="G31" s="40">
        <f t="shared" si="7"/>
        <v>486.09185625000003</v>
      </c>
      <c r="H31" s="40">
        <f t="shared" si="7"/>
        <v>813.67043793750008</v>
      </c>
      <c r="I31" s="40">
        <f t="shared" si="7"/>
        <v>1226.420581010625</v>
      </c>
      <c r="J31" s="40">
        <f t="shared" si="7"/>
        <v>1726.1767368282938</v>
      </c>
      <c r="K31" s="40">
        <f t="shared" si="7"/>
        <v>2315.047215947171</v>
      </c>
      <c r="L31" s="40">
        <f t="shared" si="7"/>
        <v>2995.422430067722</v>
      </c>
      <c r="M31" s="40">
        <f t="shared" si="7"/>
        <v>3769.98403797732</v>
      </c>
      <c r="N31" s="40">
        <f t="shared" si="7"/>
        <v>4641.7150292562173</v>
      </c>
      <c r="O31" s="40">
        <f t="shared" si="7"/>
        <v>5613.9107825618357</v>
      </c>
      <c r="P31" s="40">
        <f t="shared" si="7"/>
        <v>6690.1911384882787</v>
      </c>
      <c r="Q31" s="40">
        <f t="shared" si="7"/>
        <v>7869.1692266616583</v>
      </c>
      <c r="R31" s="40">
        <f t="shared" si="7"/>
        <v>9149.6229542207075</v>
      </c>
      <c r="S31" s="40">
        <f t="shared" si="7"/>
        <v>10530.489152791002</v>
      </c>
      <c r="T31" s="40">
        <f t="shared" si="7"/>
        <v>12010.858077756711</v>
      </c>
      <c r="U31" s="40">
        <f t="shared" si="7"/>
        <v>13589.968243706162</v>
      </c>
      <c r="V31" s="40">
        <f t="shared" si="7"/>
        <v>15267.201580770967</v>
      </c>
      <c r="W31" s="40">
        <f t="shared" si="7"/>
        <v>17042.078897380678</v>
      </c>
      <c r="X31" s="40">
        <f t="shared" si="7"/>
        <v>18914.255635718004</v>
      </c>
      <c r="Y31" s="40">
        <f t="shared" si="7"/>
        <v>20883.517906885518</v>
      </c>
      <c r="Z31" s="40">
        <f>M31</f>
        <v>3769.98403797732</v>
      </c>
      <c r="AA31" s="40">
        <f>Y31</f>
        <v>20883.517906885518</v>
      </c>
      <c r="AB31" s="35"/>
      <c r="AC31" s="35"/>
    </row>
    <row r="32" spans="1:29" ht="15" x14ac:dyDescent="0.2">
      <c r="A32" s="39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35"/>
      <c r="AC32" s="35"/>
    </row>
    <row r="33" spans="1:29" ht="16" x14ac:dyDescent="0.2">
      <c r="A33" s="41" t="s">
        <v>101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2"/>
      <c r="AC33" s="42"/>
    </row>
    <row r="34" spans="1:29" ht="16" x14ac:dyDescent="0.2">
      <c r="A34" s="44" t="s">
        <v>102</v>
      </c>
      <c r="B34" s="45">
        <f t="shared" ref="B34:Y34" si="8">B30</f>
        <v>0</v>
      </c>
      <c r="C34" s="45">
        <f t="shared" si="8"/>
        <v>0</v>
      </c>
      <c r="D34" s="45">
        <f t="shared" si="8"/>
        <v>0</v>
      </c>
      <c r="E34" s="45">
        <f t="shared" si="8"/>
        <v>80.4375</v>
      </c>
      <c r="F34" s="45">
        <f t="shared" si="8"/>
        <v>161.67937499999999</v>
      </c>
      <c r="G34" s="45">
        <f t="shared" si="8"/>
        <v>243.97498125000004</v>
      </c>
      <c r="H34" s="45">
        <f t="shared" si="8"/>
        <v>327.57858168749999</v>
      </c>
      <c r="I34" s="45">
        <f t="shared" si="8"/>
        <v>412.750143073125</v>
      </c>
      <c r="J34" s="45">
        <f t="shared" si="8"/>
        <v>499.7561558176688</v>
      </c>
      <c r="K34" s="45">
        <f t="shared" si="8"/>
        <v>588.87047911887737</v>
      </c>
      <c r="L34" s="45">
        <f t="shared" si="8"/>
        <v>680.37521412055105</v>
      </c>
      <c r="M34" s="45">
        <f t="shared" si="8"/>
        <v>774.56160790959814</v>
      </c>
      <c r="N34" s="45">
        <f t="shared" si="8"/>
        <v>871.73099127889725</v>
      </c>
      <c r="O34" s="45">
        <f t="shared" si="8"/>
        <v>972.19575330561815</v>
      </c>
      <c r="P34" s="45">
        <f t="shared" si="8"/>
        <v>1076.280355926443</v>
      </c>
      <c r="Q34" s="45">
        <f t="shared" si="8"/>
        <v>1178.9780881733793</v>
      </c>
      <c r="R34" s="45">
        <f t="shared" si="8"/>
        <v>1280.4537275590501</v>
      </c>
      <c r="S34" s="45">
        <f t="shared" si="8"/>
        <v>1380.8661985702954</v>
      </c>
      <c r="T34" s="45">
        <f t="shared" si="8"/>
        <v>1480.3689249657093</v>
      </c>
      <c r="U34" s="45">
        <f t="shared" si="8"/>
        <v>1579.11016594945</v>
      </c>
      <c r="V34" s="45">
        <f t="shared" si="8"/>
        <v>1677.2333370648048</v>
      </c>
      <c r="W34" s="45">
        <f t="shared" si="8"/>
        <v>1774.8773166097124</v>
      </c>
      <c r="X34" s="45">
        <f t="shared" si="8"/>
        <v>1872.1767383373278</v>
      </c>
      <c r="Y34" s="45">
        <f t="shared" si="8"/>
        <v>1969.2622711675153</v>
      </c>
      <c r="Z34" s="45">
        <f>SUM(B34:M34)</f>
        <v>3769.98403797732</v>
      </c>
      <c r="AA34" s="45">
        <f>SUM(N34:Y34)</f>
        <v>17113.533868908205</v>
      </c>
      <c r="AB34" s="35"/>
      <c r="AC34" s="35"/>
    </row>
    <row r="35" spans="1:29" ht="16" x14ac:dyDescent="0.2">
      <c r="A35" s="44" t="s">
        <v>103</v>
      </c>
      <c r="B35" s="45">
        <f>B34*Assumptions!$B$23</f>
        <v>0</v>
      </c>
      <c r="C35" s="45">
        <f>C34*Assumptions!$B$23</f>
        <v>0</v>
      </c>
      <c r="D35" s="45">
        <f>D34*Assumptions!$B$23</f>
        <v>0</v>
      </c>
      <c r="E35" s="45">
        <f>E34*Assumptions!$B$23</f>
        <v>44.240625000000001</v>
      </c>
      <c r="F35" s="45">
        <f>F34*Assumptions!$B$23</f>
        <v>88.923656250000008</v>
      </c>
      <c r="G35" s="45">
        <f>G34*Assumptions!$B$23</f>
        <v>134.18623968750003</v>
      </c>
      <c r="H35" s="45">
        <f>H34*Assumptions!$B$23</f>
        <v>180.16821992812501</v>
      </c>
      <c r="I35" s="45">
        <f>I34*Assumptions!$B$23</f>
        <v>227.01257869021876</v>
      </c>
      <c r="J35" s="45">
        <f>J34*Assumptions!$B$23</f>
        <v>274.86588569971786</v>
      </c>
      <c r="K35" s="45">
        <f>K34*Assumptions!$B$23</f>
        <v>323.87876351538256</v>
      </c>
      <c r="L35" s="45">
        <f>L34*Assumptions!$B$23</f>
        <v>374.20636776630312</v>
      </c>
      <c r="M35" s="45">
        <f>M34*Assumptions!$B$23</f>
        <v>426.008884350279</v>
      </c>
      <c r="N35" s="45">
        <f>N34*Assumptions!$B$23</f>
        <v>479.45204520339354</v>
      </c>
      <c r="O35" s="45">
        <f>O34*Assumptions!$B$23</f>
        <v>534.70766431809</v>
      </c>
      <c r="P35" s="45">
        <f>P34*Assumptions!$B$23</f>
        <v>591.95419575954372</v>
      </c>
      <c r="Q35" s="45">
        <f>Q34*Assumptions!$B$23</f>
        <v>648.43794849535868</v>
      </c>
      <c r="R35" s="45">
        <f>R34*Assumptions!$B$23</f>
        <v>704.24955015747764</v>
      </c>
      <c r="S35" s="45">
        <f>S34*Assumptions!$B$23</f>
        <v>759.47640921366258</v>
      </c>
      <c r="T35" s="45">
        <f>T34*Assumptions!$B$23</f>
        <v>814.20290873114016</v>
      </c>
      <c r="U35" s="45">
        <f>U34*Assumptions!$B$23</f>
        <v>868.51059127219753</v>
      </c>
      <c r="V35" s="45">
        <f>V34*Assumptions!$B$23</f>
        <v>922.47833538564271</v>
      </c>
      <c r="W35" s="45">
        <f>W34*Assumptions!$B$23</f>
        <v>976.18252413534185</v>
      </c>
      <c r="X35" s="45">
        <f>X34*Assumptions!$B$23</f>
        <v>1029.6972060855303</v>
      </c>
      <c r="Y35" s="45">
        <f>Y34*Assumptions!$B$23</f>
        <v>1083.0942491421335</v>
      </c>
      <c r="Z35" s="45">
        <f>SUM(B35:M35)</f>
        <v>2073.4912208875267</v>
      </c>
      <c r="AA35" s="45">
        <f>SUM(N35:Y35)</f>
        <v>9412.4436278995126</v>
      </c>
      <c r="AB35" s="35"/>
      <c r="AC35" s="35"/>
    </row>
    <row r="36" spans="1:29" ht="16" x14ac:dyDescent="0.2">
      <c r="A36" s="39" t="s">
        <v>104</v>
      </c>
      <c r="B36" s="40">
        <f>B34</f>
        <v>0</v>
      </c>
      <c r="C36" s="40">
        <f>B36*(1-Assumptions!$B$27)+C34</f>
        <v>0</v>
      </c>
      <c r="D36" s="40">
        <f>C36*(1-Assumptions!$B$27)+D34</f>
        <v>0</v>
      </c>
      <c r="E36" s="40">
        <f>D36*(1-Assumptions!$B$27)+E34</f>
        <v>80.4375</v>
      </c>
      <c r="F36" s="40">
        <f>E36*(1-Assumptions!$B$27)+F34</f>
        <v>240.91031249999997</v>
      </c>
      <c r="G36" s="40">
        <f>F36*(1-Assumptions!$B$27)+G34</f>
        <v>481.27163906250001</v>
      </c>
      <c r="H36" s="40">
        <f>G36*(1-Assumptions!$B$27)+H34</f>
        <v>801.63114616406256</v>
      </c>
      <c r="I36" s="40">
        <f>H36*(1-Assumptions!$B$27)+I34</f>
        <v>1202.3568220447266</v>
      </c>
      <c r="J36" s="40">
        <f>I36*(1-Assumptions!$B$27)+J34</f>
        <v>1684.0776255317244</v>
      </c>
      <c r="K36" s="40">
        <f>J36*(1-Assumptions!$B$27)+K34</f>
        <v>2247.6869402676257</v>
      </c>
      <c r="L36" s="40">
        <f>K36*(1-Assumptions!$B$27)+L34</f>
        <v>2894.3468502841624</v>
      </c>
      <c r="M36" s="40">
        <f>L36*(1-Assumptions!$B$27)+M34</f>
        <v>3625.4932554394982</v>
      </c>
      <c r="N36" s="40">
        <f>M36*(1-Assumptions!$B$27)+N34</f>
        <v>4442.8418478868025</v>
      </c>
      <c r="O36" s="40">
        <f>N36*(1-Assumptions!$B$27)+O34</f>
        <v>5348.3949734741191</v>
      </c>
      <c r="P36" s="40">
        <f>O36*(1-Assumptions!$B$27)+P34</f>
        <v>6344.4494047984499</v>
      </c>
      <c r="Q36" s="40">
        <f>P36*(1-Assumptions!$B$27)+Q34</f>
        <v>7428.2607518998529</v>
      </c>
      <c r="R36" s="40">
        <f>Q36*(1-Assumptions!$B$27)+R34</f>
        <v>8597.2905681804041</v>
      </c>
      <c r="S36" s="40">
        <f>R36*(1-Assumptions!$B$27)+S34</f>
        <v>9849.1974082279921</v>
      </c>
      <c r="T36" s="40">
        <f>S36*(1-Assumptions!$B$27)+T34</f>
        <v>11181.828372070282</v>
      </c>
      <c r="U36" s="40">
        <f>T36*(1-Assumptions!$B$27)+U34</f>
        <v>12593.211112438677</v>
      </c>
      <c r="V36" s="40">
        <f>U36*(1-Assumptions!$B$27)+V34</f>
        <v>14081.546282816902</v>
      </c>
      <c r="W36" s="40">
        <f>V36*(1-Assumptions!$B$27)+W34</f>
        <v>15645.200405184361</v>
      </c>
      <c r="X36" s="40">
        <f>W36*(1-Assumptions!$B$27)+X34</f>
        <v>17282.699137443924</v>
      </c>
      <c r="Y36" s="40">
        <f>X36*(1-Assumptions!$B$27)+Y34</f>
        <v>18992.720921549779</v>
      </c>
      <c r="Z36" s="40">
        <f>M36</f>
        <v>3625.4932554394982</v>
      </c>
      <c r="AA36" s="40">
        <f>Y36</f>
        <v>18992.720921549779</v>
      </c>
      <c r="AB36" s="35"/>
      <c r="AC36" s="35"/>
    </row>
    <row r="37" spans="1:29" ht="16" x14ac:dyDescent="0.2">
      <c r="A37" s="39" t="s">
        <v>105</v>
      </c>
      <c r="B37" s="40">
        <f>B35</f>
        <v>0</v>
      </c>
      <c r="C37" s="40">
        <f>B37*(1-Assumptions!$B$28)+C35</f>
        <v>0</v>
      </c>
      <c r="D37" s="40">
        <f>C37*(1-Assumptions!$B$28)+D35</f>
        <v>0</v>
      </c>
      <c r="E37" s="40">
        <f>D37*(1-Assumptions!$B$28)+E35</f>
        <v>44.240625000000001</v>
      </c>
      <c r="F37" s="40">
        <f>E37*(1-Assumptions!$B$28)+F35</f>
        <v>132.27946875000001</v>
      </c>
      <c r="G37" s="40">
        <f>F37*(1-Assumptions!$B$28)+G35</f>
        <v>263.8201190625</v>
      </c>
      <c r="H37" s="40">
        <f>G37*(1-Assumptions!$B$28)+H35</f>
        <v>438.71193660937502</v>
      </c>
      <c r="I37" s="40">
        <f>H37*(1-Assumptions!$B$28)+I35</f>
        <v>656.95027656740626</v>
      </c>
      <c r="J37" s="40">
        <f>I37*(1-Assumptions!$B$28)+J35</f>
        <v>918.67715673577595</v>
      </c>
      <c r="K37" s="40">
        <f>J37*(1-Assumptions!$B$28)+K35</f>
        <v>1224.1823771164429</v>
      </c>
      <c r="L37" s="40">
        <f>K37*(1-Assumptions!$B$28)+L35</f>
        <v>1573.9050973404171</v>
      </c>
      <c r="M37" s="40">
        <f>L37*(1-Assumptions!$B$28)+M35</f>
        <v>1968.4358797438877</v>
      </c>
      <c r="N37" s="40">
        <f>M37*(1-Assumptions!$B$28)+N35</f>
        <v>2408.5192073524036</v>
      </c>
      <c r="O37" s="40">
        <f>N37*(1-Assumptions!$B$28)+O35</f>
        <v>2895.0564875234454</v>
      </c>
      <c r="P37" s="40">
        <f>O37*(1-Assumptions!$B$28)+P35</f>
        <v>3429.1095535325203</v>
      </c>
      <c r="Q37" s="40">
        <f>P37*(1-Assumptions!$B$28)+Q35</f>
        <v>4008.9653109572287</v>
      </c>
      <c r="R37" s="40">
        <f>Q37*(1-Assumptions!$B$28)+R35</f>
        <v>4633.0355548955613</v>
      </c>
      <c r="S37" s="40">
        <f>R37*(1-Assumptions!$B$28)+S35</f>
        <v>5299.851253011313</v>
      </c>
      <c r="T37" s="40">
        <f>S37*(1-Assumptions!$B$28)+T35</f>
        <v>6008.0571366822269</v>
      </c>
      <c r="U37" s="40">
        <f>T37*(1-Assumptions!$B$28)+U35</f>
        <v>6756.4065852207796</v>
      </c>
      <c r="V37" s="40">
        <f>U37*(1-Assumptions!$B$28)+V35</f>
        <v>7543.7567889020065</v>
      </c>
      <c r="W37" s="40">
        <f>V37*(1-Assumptions!$B$28)+W35</f>
        <v>8369.0641772593081</v>
      </c>
      <c r="X37" s="40">
        <f>W37*(1-Assumptions!$B$28)+X35</f>
        <v>9231.3800997996514</v>
      </c>
      <c r="Y37" s="40">
        <f>X37*(1-Assumptions!$B$28)+Y35</f>
        <v>10129.846746945792</v>
      </c>
      <c r="Z37" s="40">
        <f>M37</f>
        <v>1968.4358797438877</v>
      </c>
      <c r="AA37" s="40">
        <f>Y37</f>
        <v>10129.846746945792</v>
      </c>
      <c r="AB37" s="35"/>
      <c r="AC37" s="35"/>
    </row>
    <row r="38" spans="1:29" ht="15" x14ac:dyDescent="0.2">
      <c r="A38" s="39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35"/>
      <c r="AC38" s="35"/>
    </row>
    <row r="39" spans="1:29" ht="16" x14ac:dyDescent="0.2">
      <c r="A39" s="41" t="s">
        <v>106</v>
      </c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2"/>
      <c r="AC39" s="42"/>
    </row>
    <row r="40" spans="1:29" ht="16" x14ac:dyDescent="0.2">
      <c r="A40" s="39" t="s">
        <v>107</v>
      </c>
      <c r="B40" s="43">
        <f>B15*Assumptions!$B$24</f>
        <v>643.5</v>
      </c>
      <c r="C40" s="43">
        <f>C15*Assumptions!$B$24</f>
        <v>682.11</v>
      </c>
      <c r="D40" s="43">
        <f>D15*Assumptions!$B$24</f>
        <v>723.03660000000002</v>
      </c>
      <c r="E40" s="43">
        <f>E15*Assumptions!$B$24</f>
        <v>766.41879600000004</v>
      </c>
      <c r="F40" s="43">
        <f>F15*Assumptions!$B$24</f>
        <v>812.40392376000011</v>
      </c>
      <c r="G40" s="43">
        <f>G15*Assumptions!$B$24</f>
        <v>861.14815918560021</v>
      </c>
      <c r="H40" s="43">
        <f>H15*Assumptions!$B$24</f>
        <v>912.81704873673618</v>
      </c>
      <c r="I40" s="43">
        <f>I15*Assumptions!$B$24</f>
        <v>967.58607166094043</v>
      </c>
      <c r="J40" s="43">
        <f>J15*Assumptions!$B$24</f>
        <v>1025.641235960597</v>
      </c>
      <c r="K40" s="43">
        <f>K15*Assumptions!$B$24</f>
        <v>1087.1797101182326</v>
      </c>
      <c r="L40" s="43">
        <f>L15*Assumptions!$B$24</f>
        <v>1152.4104927253265</v>
      </c>
      <c r="M40" s="43">
        <f>M15*Assumptions!$B$24</f>
        <v>1221.5551222888464</v>
      </c>
      <c r="N40" s="43">
        <f>N15*Assumptions!$B$24</f>
        <v>1252.0940003460676</v>
      </c>
      <c r="O40" s="43">
        <f>O15*Assumptions!$B$24</f>
        <v>1283.3963503547193</v>
      </c>
      <c r="P40" s="43">
        <f>P15*Assumptions!$B$24</f>
        <v>1315.4812591135869</v>
      </c>
      <c r="Q40" s="43">
        <f>Q15*Assumptions!$B$24</f>
        <v>1348.3682905914266</v>
      </c>
      <c r="R40" s="43">
        <f>R15*Assumptions!$B$24</f>
        <v>1382.0774978562122</v>
      </c>
      <c r="S40" s="43">
        <f>S15*Assumptions!$B$24</f>
        <v>1416.6294353026174</v>
      </c>
      <c r="T40" s="43">
        <f>T15*Assumptions!$B$24</f>
        <v>1452.0451711851827</v>
      </c>
      <c r="U40" s="43">
        <f>U15*Assumptions!$B$24</f>
        <v>1488.346300464812</v>
      </c>
      <c r="V40" s="43">
        <f>V15*Assumptions!$B$24</f>
        <v>1525.554957976432</v>
      </c>
      <c r="W40" s="43">
        <f>W15*Assumptions!$B$24</f>
        <v>1563.6938319258427</v>
      </c>
      <c r="X40" s="43">
        <f>X15*Assumptions!$B$24</f>
        <v>1602.7861777239887</v>
      </c>
      <c r="Y40" s="43">
        <f>Y15*Assumptions!$B$24</f>
        <v>1642.8558321670882</v>
      </c>
      <c r="Z40" s="40">
        <f>SUM(B40:M40)</f>
        <v>10855.807160436279</v>
      </c>
      <c r="AA40" s="40">
        <f>SUM(N40:Y40)</f>
        <v>17273.329105007975</v>
      </c>
      <c r="AB40" s="35"/>
      <c r="AC40" s="35"/>
    </row>
    <row r="41" spans="1:29" ht="16" x14ac:dyDescent="0.2">
      <c r="A41" s="39" t="s">
        <v>108</v>
      </c>
      <c r="B41" s="43">
        <f>B40*Assumptions!$B$25</f>
        <v>418.27500000000003</v>
      </c>
      <c r="C41" s="43">
        <f>C40*Assumptions!$B$25</f>
        <v>443.37150000000003</v>
      </c>
      <c r="D41" s="43">
        <f>D40*Assumptions!$B$25</f>
        <v>469.97379000000001</v>
      </c>
      <c r="E41" s="43">
        <f>E40*Assumptions!$B$25</f>
        <v>498.17221740000002</v>
      </c>
      <c r="F41" s="43">
        <f>F40*Assumptions!$B$25</f>
        <v>528.06255044400007</v>
      </c>
      <c r="G41" s="43">
        <f>G40*Assumptions!$B$25</f>
        <v>559.7463034706401</v>
      </c>
      <c r="H41" s="43">
        <f>H40*Assumptions!$B$25</f>
        <v>593.33108167887849</v>
      </c>
      <c r="I41" s="43">
        <f>I40*Assumptions!$B$25</f>
        <v>628.93094657961126</v>
      </c>
      <c r="J41" s="43">
        <f>J40*Assumptions!$B$25</f>
        <v>666.66680337438811</v>
      </c>
      <c r="K41" s="43">
        <f>K40*Assumptions!$B$25</f>
        <v>706.66681157685127</v>
      </c>
      <c r="L41" s="43">
        <f>L40*Assumptions!$B$25</f>
        <v>749.06682027146223</v>
      </c>
      <c r="M41" s="43">
        <f>M40*Assumptions!$B$25</f>
        <v>794.01082948775024</v>
      </c>
      <c r="N41" s="43">
        <f>N40*Assumptions!$B$25</f>
        <v>813.86110022494393</v>
      </c>
      <c r="O41" s="43">
        <f>O40*Assumptions!$B$25</f>
        <v>834.20762773056754</v>
      </c>
      <c r="P41" s="43">
        <f>P40*Assumptions!$B$25</f>
        <v>855.06281842383157</v>
      </c>
      <c r="Q41" s="43">
        <f>Q40*Assumptions!$B$25</f>
        <v>876.43938888442733</v>
      </c>
      <c r="R41" s="43">
        <f>R40*Assumptions!$B$25</f>
        <v>898.35037360653791</v>
      </c>
      <c r="S41" s="43">
        <f>S40*Assumptions!$B$25</f>
        <v>920.80913294670131</v>
      </c>
      <c r="T41" s="43">
        <f>T40*Assumptions!$B$25</f>
        <v>943.82936127036874</v>
      </c>
      <c r="U41" s="43">
        <f>U40*Assumptions!$B$25</f>
        <v>967.42509530212783</v>
      </c>
      <c r="V41" s="43">
        <f>V40*Assumptions!$B$25</f>
        <v>991.61072268468081</v>
      </c>
      <c r="W41" s="43">
        <f>W40*Assumptions!$B$25</f>
        <v>1016.4009907517977</v>
      </c>
      <c r="X41" s="43">
        <f>X40*Assumptions!$B$25</f>
        <v>1041.8110155205927</v>
      </c>
      <c r="Y41" s="43">
        <f>Y40*Assumptions!$B$25</f>
        <v>1067.8562909086074</v>
      </c>
      <c r="Z41" s="40">
        <f>SUM(B41:M41)</f>
        <v>7056.2746542835821</v>
      </c>
      <c r="AA41" s="40">
        <f>SUM(N41:Y41)</f>
        <v>11227.663918255184</v>
      </c>
      <c r="AB41" s="35"/>
      <c r="AC41" s="35"/>
    </row>
    <row r="42" spans="1:29" ht="16" x14ac:dyDescent="0.2">
      <c r="A42" s="39" t="s">
        <v>109</v>
      </c>
      <c r="B42" s="43">
        <f>B41*Assumptions!$B$26</f>
        <v>146.39625000000001</v>
      </c>
      <c r="C42" s="43">
        <f>C41*Assumptions!$B$26</f>
        <v>155.180025</v>
      </c>
      <c r="D42" s="43">
        <f>D41*Assumptions!$B$26</f>
        <v>164.4908265</v>
      </c>
      <c r="E42" s="43">
        <f>E41*Assumptions!$B$26</f>
        <v>174.36027608999999</v>
      </c>
      <c r="F42" s="43">
        <f>F41*Assumptions!$B$26</f>
        <v>184.82189265540001</v>
      </c>
      <c r="G42" s="43">
        <f>G41*Assumptions!$B$26</f>
        <v>195.91120621472402</v>
      </c>
      <c r="H42" s="43">
        <f>H41*Assumptions!$B$26</f>
        <v>207.66587858760747</v>
      </c>
      <c r="I42" s="43">
        <f>I41*Assumptions!$B$26</f>
        <v>220.12583130286393</v>
      </c>
      <c r="J42" s="43">
        <f>J41*Assumptions!$B$26</f>
        <v>233.33338118103583</v>
      </c>
      <c r="K42" s="43">
        <f>K41*Assumptions!$B$26</f>
        <v>247.33338405189792</v>
      </c>
      <c r="L42" s="43">
        <f>L41*Assumptions!$B$26</f>
        <v>262.17338709501178</v>
      </c>
      <c r="M42" s="43">
        <f>M41*Assumptions!$B$26</f>
        <v>277.90379032071257</v>
      </c>
      <c r="N42" s="43">
        <f>N41*Assumptions!$B$26</f>
        <v>284.85138507873035</v>
      </c>
      <c r="O42" s="43">
        <f>O41*Assumptions!$B$26</f>
        <v>291.97266970569859</v>
      </c>
      <c r="P42" s="43">
        <f>P41*Assumptions!$B$26</f>
        <v>299.27198644834101</v>
      </c>
      <c r="Q42" s="43">
        <f>Q41*Assumptions!$B$26</f>
        <v>306.75378610954954</v>
      </c>
      <c r="R42" s="43">
        <f>R41*Assumptions!$B$26</f>
        <v>314.42263076228824</v>
      </c>
      <c r="S42" s="43">
        <f>S41*Assumptions!$B$26</f>
        <v>322.28319653134542</v>
      </c>
      <c r="T42" s="43">
        <f>T41*Assumptions!$B$26</f>
        <v>330.34027644462901</v>
      </c>
      <c r="U42" s="43">
        <f>U41*Assumptions!$B$26</f>
        <v>338.59878335574473</v>
      </c>
      <c r="V42" s="43">
        <f>V41*Assumptions!$B$26</f>
        <v>347.06375293963828</v>
      </c>
      <c r="W42" s="43">
        <f>W41*Assumptions!$B$26</f>
        <v>355.7403467631292</v>
      </c>
      <c r="X42" s="43">
        <f>X41*Assumptions!$B$26</f>
        <v>364.63385543220744</v>
      </c>
      <c r="Y42" s="43">
        <f>Y41*Assumptions!$B$26</f>
        <v>373.74970181801257</v>
      </c>
      <c r="Z42" s="40">
        <f>SUM(B42:M42)</f>
        <v>2469.6961289992532</v>
      </c>
      <c r="AA42" s="40">
        <f>SUM(N42:Y42)</f>
        <v>3929.6823713893141</v>
      </c>
      <c r="AB42" s="35"/>
      <c r="AC42" s="35"/>
    </row>
    <row r="43" spans="1:29" ht="16" x14ac:dyDescent="0.2">
      <c r="A43" s="39" t="s">
        <v>110</v>
      </c>
      <c r="B43" s="40">
        <f>B42</f>
        <v>146.39625000000001</v>
      </c>
      <c r="C43" s="40">
        <f>B43*(1-Assumptions!$B$28)+C42</f>
        <v>298.64834999999999</v>
      </c>
      <c r="D43" s="40">
        <f>C43*(1-Assumptions!$B$28)+D42</f>
        <v>457.16620950000004</v>
      </c>
      <c r="E43" s="40">
        <f>D43*(1-Assumptions!$B$28)+E42</f>
        <v>622.38316140000006</v>
      </c>
      <c r="F43" s="40">
        <f>E43*(1-Assumptions!$B$28)+F42</f>
        <v>794.75739082740006</v>
      </c>
      <c r="G43" s="40">
        <f>F43*(1-Assumptions!$B$28)+G42</f>
        <v>974.77344922557609</v>
      </c>
      <c r="H43" s="40">
        <f>G43*(1-Assumptions!$B$28)+H42</f>
        <v>1162.9438588286721</v>
      </c>
      <c r="I43" s="40">
        <f>H43*(1-Assumptions!$B$28)+I42</f>
        <v>1359.8108129549626</v>
      </c>
      <c r="J43" s="40">
        <f>I43*(1-Assumptions!$B$28)+J42</f>
        <v>1565.9479778768991</v>
      </c>
      <c r="K43" s="40">
        <f>J43*(1-Assumptions!$B$28)+K42</f>
        <v>1781.962402371259</v>
      </c>
      <c r="L43" s="40">
        <f>K43*(1-Assumptions!$B$28)+L42</f>
        <v>2008.4965414188457</v>
      </c>
      <c r="M43" s="40">
        <f>L43*(1-Assumptions!$B$28)+M42</f>
        <v>2246.2304009111813</v>
      </c>
      <c r="N43" s="40">
        <f>M43*(1-Assumptions!$B$28)+N42</f>
        <v>2486.1571779716878</v>
      </c>
      <c r="O43" s="40">
        <f>N43*(1-Assumptions!$B$28)+O42</f>
        <v>2728.4067041179524</v>
      </c>
      <c r="P43" s="40">
        <f>O43*(1-Assumptions!$B$28)+P42</f>
        <v>2973.1105564839345</v>
      </c>
      <c r="Q43" s="40">
        <f>P43*(1-Assumptions!$B$28)+Q42</f>
        <v>3220.4021314638048</v>
      </c>
      <c r="R43" s="40">
        <f>Q43*(1-Assumptions!$B$28)+R42</f>
        <v>3470.4167195968166</v>
      </c>
      <c r="S43" s="40">
        <f>R43*(1-Assumptions!$B$28)+S42</f>
        <v>3723.2915817362255</v>
      </c>
      <c r="T43" s="40">
        <f>S43*(1-Assumptions!$B$28)+T42</f>
        <v>3979.1660265461301</v>
      </c>
      <c r="U43" s="40">
        <f>T43*(1-Assumptions!$B$28)+U42</f>
        <v>4238.1814893709525</v>
      </c>
      <c r="V43" s="40">
        <f>U43*(1-Assumptions!$B$28)+V42</f>
        <v>4500.4816125231719</v>
      </c>
      <c r="W43" s="40">
        <f>V43*(1-Assumptions!$B$28)+W42</f>
        <v>4766.2123270358379</v>
      </c>
      <c r="X43" s="40">
        <f>W43*(1-Assumptions!$B$28)+X42</f>
        <v>5035.5219359273287</v>
      </c>
      <c r="Y43" s="40">
        <f>X43*(1-Assumptions!$B$28)+Y42</f>
        <v>5308.5611990267953</v>
      </c>
      <c r="Z43" s="40">
        <f>M43</f>
        <v>2246.2304009111813</v>
      </c>
      <c r="AA43" s="40">
        <f>Y43</f>
        <v>5308.5611990267953</v>
      </c>
      <c r="AB43" s="35"/>
      <c r="AC43" s="35"/>
    </row>
    <row r="44" spans="1:29" ht="16" x14ac:dyDescent="0.2">
      <c r="A44" s="44" t="s">
        <v>111</v>
      </c>
      <c r="B44" s="45">
        <f t="shared" ref="B44:Y44" si="9">SUM(B37,B43)</f>
        <v>146.39625000000001</v>
      </c>
      <c r="C44" s="45">
        <f t="shared" si="9"/>
        <v>298.64834999999999</v>
      </c>
      <c r="D44" s="45">
        <f t="shared" si="9"/>
        <v>457.16620950000004</v>
      </c>
      <c r="E44" s="45">
        <f t="shared" si="9"/>
        <v>666.62378640000009</v>
      </c>
      <c r="F44" s="45">
        <f t="shared" si="9"/>
        <v>927.03685957740004</v>
      </c>
      <c r="G44" s="45">
        <f t="shared" si="9"/>
        <v>1238.5935682880761</v>
      </c>
      <c r="H44" s="45">
        <f t="shared" si="9"/>
        <v>1601.6557954380471</v>
      </c>
      <c r="I44" s="45">
        <f t="shared" si="9"/>
        <v>2016.7610895223688</v>
      </c>
      <c r="J44" s="45">
        <f t="shared" si="9"/>
        <v>2484.6251346126751</v>
      </c>
      <c r="K44" s="45">
        <f t="shared" si="9"/>
        <v>3006.1447794877022</v>
      </c>
      <c r="L44" s="45">
        <f t="shared" si="9"/>
        <v>3582.4016387592628</v>
      </c>
      <c r="M44" s="45">
        <f t="shared" si="9"/>
        <v>4214.6662806550685</v>
      </c>
      <c r="N44" s="45">
        <f t="shared" si="9"/>
        <v>4894.6763853240918</v>
      </c>
      <c r="O44" s="45">
        <f t="shared" si="9"/>
        <v>5623.4631916413982</v>
      </c>
      <c r="P44" s="45">
        <f t="shared" si="9"/>
        <v>6402.2201100164548</v>
      </c>
      <c r="Q44" s="45">
        <f t="shared" si="9"/>
        <v>7229.367442421033</v>
      </c>
      <c r="R44" s="45">
        <f t="shared" si="9"/>
        <v>8103.4522744923779</v>
      </c>
      <c r="S44" s="45">
        <f t="shared" si="9"/>
        <v>9023.1428347475376</v>
      </c>
      <c r="T44" s="45">
        <f t="shared" si="9"/>
        <v>9987.2231632283565</v>
      </c>
      <c r="U44" s="45">
        <f t="shared" si="9"/>
        <v>10994.588074591731</v>
      </c>
      <c r="V44" s="45">
        <f t="shared" si="9"/>
        <v>12044.238401425178</v>
      </c>
      <c r="W44" s="45">
        <f t="shared" si="9"/>
        <v>13135.276504295147</v>
      </c>
      <c r="X44" s="45">
        <f t="shared" si="9"/>
        <v>14266.90203572698</v>
      </c>
      <c r="Y44" s="45">
        <f t="shared" si="9"/>
        <v>15438.407945972587</v>
      </c>
      <c r="Z44" s="45">
        <f>M44</f>
        <v>4214.6662806550685</v>
      </c>
      <c r="AA44" s="45">
        <f>Y44</f>
        <v>15438.407945972587</v>
      </c>
      <c r="AB44" s="35"/>
      <c r="AC44" s="35"/>
    </row>
    <row r="45" spans="1:29" ht="15" x14ac:dyDescent="0.2">
      <c r="A45" s="39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35"/>
      <c r="AC45" s="35"/>
    </row>
    <row r="46" spans="1:29" ht="16" x14ac:dyDescent="0.2">
      <c r="A46" s="41" t="s">
        <v>112</v>
      </c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2"/>
      <c r="AC46" s="42"/>
    </row>
    <row r="47" spans="1:29" ht="16" x14ac:dyDescent="0.2">
      <c r="A47" s="46" t="s">
        <v>24</v>
      </c>
      <c r="B47" s="47">
        <f t="shared" ref="B47:Y47" si="10">IFERROR(B24/B23,0)</f>
        <v>0.25</v>
      </c>
      <c r="C47" s="47">
        <f t="shared" si="10"/>
        <v>0.25</v>
      </c>
      <c r="D47" s="47">
        <f t="shared" si="10"/>
        <v>0.25</v>
      </c>
      <c r="E47" s="47">
        <f t="shared" si="10"/>
        <v>0.25</v>
      </c>
      <c r="F47" s="47">
        <f t="shared" si="10"/>
        <v>0.25</v>
      </c>
      <c r="G47" s="47">
        <f t="shared" si="10"/>
        <v>0.25</v>
      </c>
      <c r="H47" s="47">
        <f t="shared" si="10"/>
        <v>0.25</v>
      </c>
      <c r="I47" s="47">
        <f t="shared" si="10"/>
        <v>0.25</v>
      </c>
      <c r="J47" s="47">
        <f t="shared" si="10"/>
        <v>0.25</v>
      </c>
      <c r="K47" s="47">
        <f t="shared" si="10"/>
        <v>0.25</v>
      </c>
      <c r="L47" s="47">
        <f t="shared" si="10"/>
        <v>0.25</v>
      </c>
      <c r="M47" s="47">
        <f t="shared" si="10"/>
        <v>0.25</v>
      </c>
      <c r="N47" s="47">
        <f t="shared" si="10"/>
        <v>0.25</v>
      </c>
      <c r="O47" s="47">
        <f t="shared" si="10"/>
        <v>0.25</v>
      </c>
      <c r="P47" s="47">
        <f t="shared" si="10"/>
        <v>0.25</v>
      </c>
      <c r="Q47" s="47">
        <f t="shared" si="10"/>
        <v>0.25</v>
      </c>
      <c r="R47" s="47">
        <f t="shared" si="10"/>
        <v>0.25</v>
      </c>
      <c r="S47" s="47">
        <f t="shared" si="10"/>
        <v>0.25</v>
      </c>
      <c r="T47" s="47">
        <f t="shared" si="10"/>
        <v>0.25</v>
      </c>
      <c r="U47" s="47">
        <f t="shared" si="10"/>
        <v>0.25</v>
      </c>
      <c r="V47" s="47">
        <f t="shared" si="10"/>
        <v>0.25</v>
      </c>
      <c r="W47" s="47">
        <f t="shared" si="10"/>
        <v>0.25</v>
      </c>
      <c r="X47" s="47">
        <f t="shared" si="10"/>
        <v>0.25</v>
      </c>
      <c r="Y47" s="47">
        <f t="shared" si="10"/>
        <v>0.25</v>
      </c>
      <c r="Z47" s="48">
        <f t="shared" ref="Z47:Z53" si="11">AVERAGE(B47:M47)</f>
        <v>0.25</v>
      </c>
      <c r="AA47" s="48">
        <f t="shared" ref="AA47:AA53" si="12">AVERAGE(N47:Y47)</f>
        <v>0.25</v>
      </c>
      <c r="AB47" s="35"/>
      <c r="AC47" s="35"/>
    </row>
    <row r="48" spans="1:29" ht="16" x14ac:dyDescent="0.2">
      <c r="A48" s="46" t="s">
        <v>12</v>
      </c>
      <c r="B48" s="47">
        <f t="shared" ref="B48:Y48" si="13">IFERROR(B25/B24,0)</f>
        <v>0.5</v>
      </c>
      <c r="C48" s="47">
        <f t="shared" si="13"/>
        <v>0.5</v>
      </c>
      <c r="D48" s="47">
        <f t="shared" si="13"/>
        <v>0.5</v>
      </c>
      <c r="E48" s="47">
        <f t="shared" si="13"/>
        <v>0.5</v>
      </c>
      <c r="F48" s="47">
        <f t="shared" si="13"/>
        <v>0.5</v>
      </c>
      <c r="G48" s="47">
        <f t="shared" si="13"/>
        <v>0.5</v>
      </c>
      <c r="H48" s="47">
        <f t="shared" si="13"/>
        <v>0.5</v>
      </c>
      <c r="I48" s="47">
        <f t="shared" si="13"/>
        <v>0.5</v>
      </c>
      <c r="J48" s="47">
        <f t="shared" si="13"/>
        <v>0.5</v>
      </c>
      <c r="K48" s="47">
        <f t="shared" si="13"/>
        <v>0.5</v>
      </c>
      <c r="L48" s="47">
        <f t="shared" si="13"/>
        <v>0.5</v>
      </c>
      <c r="M48" s="47">
        <f t="shared" si="13"/>
        <v>0.5</v>
      </c>
      <c r="N48" s="47">
        <f t="shared" si="13"/>
        <v>0.5</v>
      </c>
      <c r="O48" s="47">
        <f t="shared" si="13"/>
        <v>0.5</v>
      </c>
      <c r="P48" s="47">
        <f t="shared" si="13"/>
        <v>0.5</v>
      </c>
      <c r="Q48" s="47">
        <f t="shared" si="13"/>
        <v>0.5</v>
      </c>
      <c r="R48" s="47">
        <f t="shared" si="13"/>
        <v>0.5</v>
      </c>
      <c r="S48" s="47">
        <f t="shared" si="13"/>
        <v>0.5</v>
      </c>
      <c r="T48" s="47">
        <f t="shared" si="13"/>
        <v>0.5</v>
      </c>
      <c r="U48" s="47">
        <f t="shared" si="13"/>
        <v>0.5</v>
      </c>
      <c r="V48" s="47">
        <f t="shared" si="13"/>
        <v>0.5</v>
      </c>
      <c r="W48" s="47">
        <f t="shared" si="13"/>
        <v>0.5</v>
      </c>
      <c r="X48" s="47">
        <f t="shared" si="13"/>
        <v>0.5</v>
      </c>
      <c r="Y48" s="47">
        <f t="shared" si="13"/>
        <v>0.5</v>
      </c>
      <c r="Z48" s="48">
        <f t="shared" si="11"/>
        <v>0.5</v>
      </c>
      <c r="AA48" s="48">
        <f t="shared" si="12"/>
        <v>0.5</v>
      </c>
      <c r="AB48" s="35"/>
      <c r="AC48" s="35"/>
    </row>
    <row r="49" spans="1:29" ht="16" x14ac:dyDescent="0.2">
      <c r="A49" s="46" t="s">
        <v>14</v>
      </c>
      <c r="B49" s="47">
        <f t="shared" ref="B49:Y49" si="14">IFERROR(B26/B25,0)</f>
        <v>0.1</v>
      </c>
      <c r="C49" s="47">
        <f t="shared" si="14"/>
        <v>9.9999999999999992E-2</v>
      </c>
      <c r="D49" s="47">
        <f t="shared" si="14"/>
        <v>0.1</v>
      </c>
      <c r="E49" s="47">
        <f t="shared" si="14"/>
        <v>9.9999999999999992E-2</v>
      </c>
      <c r="F49" s="47">
        <f t="shared" si="14"/>
        <v>0.1</v>
      </c>
      <c r="G49" s="47">
        <f t="shared" si="14"/>
        <v>0.1</v>
      </c>
      <c r="H49" s="47">
        <f t="shared" si="14"/>
        <v>0.1</v>
      </c>
      <c r="I49" s="47">
        <f t="shared" si="14"/>
        <v>0.1</v>
      </c>
      <c r="J49" s="47">
        <f t="shared" si="14"/>
        <v>0.1</v>
      </c>
      <c r="K49" s="47">
        <f t="shared" si="14"/>
        <v>0.1</v>
      </c>
      <c r="L49" s="47">
        <f t="shared" si="14"/>
        <v>0.1</v>
      </c>
      <c r="M49" s="47">
        <f t="shared" si="14"/>
        <v>0.1</v>
      </c>
      <c r="N49" s="47">
        <f t="shared" si="14"/>
        <v>0.1</v>
      </c>
      <c r="O49" s="47">
        <f t="shared" si="14"/>
        <v>0.10000000000000002</v>
      </c>
      <c r="P49" s="47">
        <f t="shared" si="14"/>
        <v>9.9999999999999992E-2</v>
      </c>
      <c r="Q49" s="47">
        <f t="shared" si="14"/>
        <v>0.1</v>
      </c>
      <c r="R49" s="47">
        <f t="shared" si="14"/>
        <v>0.1</v>
      </c>
      <c r="S49" s="47">
        <f t="shared" si="14"/>
        <v>0.10000000000000002</v>
      </c>
      <c r="T49" s="47">
        <f t="shared" si="14"/>
        <v>0.1</v>
      </c>
      <c r="U49" s="47">
        <f t="shared" si="14"/>
        <v>0.1</v>
      </c>
      <c r="V49" s="47">
        <f t="shared" si="14"/>
        <v>0.1</v>
      </c>
      <c r="W49" s="47">
        <f t="shared" si="14"/>
        <v>0.1</v>
      </c>
      <c r="X49" s="47">
        <f t="shared" si="14"/>
        <v>0.1</v>
      </c>
      <c r="Y49" s="47">
        <f t="shared" si="14"/>
        <v>0.1</v>
      </c>
      <c r="Z49" s="48">
        <f t="shared" si="11"/>
        <v>9.9999999999999992E-2</v>
      </c>
      <c r="AA49" s="48">
        <f t="shared" si="12"/>
        <v>9.9999999999999992E-2</v>
      </c>
      <c r="AB49" s="35"/>
      <c r="AC49" s="35"/>
    </row>
    <row r="50" spans="1:29" ht="16" x14ac:dyDescent="0.2">
      <c r="A50" s="46" t="s">
        <v>113</v>
      </c>
      <c r="B50" s="47">
        <f t="shared" ref="B50:Y50" si="15">IFERROR(B30/B29,0)</f>
        <v>0</v>
      </c>
      <c r="C50" s="47">
        <f t="shared" si="15"/>
        <v>0</v>
      </c>
      <c r="D50" s="47">
        <f t="shared" si="15"/>
        <v>0</v>
      </c>
      <c r="E50" s="47">
        <f t="shared" si="15"/>
        <v>0.3</v>
      </c>
      <c r="F50" s="47">
        <f t="shared" si="15"/>
        <v>0.3</v>
      </c>
      <c r="G50" s="47">
        <f t="shared" si="15"/>
        <v>0.3</v>
      </c>
      <c r="H50" s="47">
        <f t="shared" si="15"/>
        <v>0.3</v>
      </c>
      <c r="I50" s="47">
        <f t="shared" si="15"/>
        <v>0.3</v>
      </c>
      <c r="J50" s="47">
        <f t="shared" si="15"/>
        <v>0.3</v>
      </c>
      <c r="K50" s="47">
        <f t="shared" si="15"/>
        <v>0.3</v>
      </c>
      <c r="L50" s="47">
        <f t="shared" si="15"/>
        <v>0.3</v>
      </c>
      <c r="M50" s="47">
        <f t="shared" si="15"/>
        <v>0.3</v>
      </c>
      <c r="N50" s="47">
        <f t="shared" si="15"/>
        <v>0.3</v>
      </c>
      <c r="O50" s="47">
        <f t="shared" si="15"/>
        <v>0.3</v>
      </c>
      <c r="P50" s="47">
        <f t="shared" si="15"/>
        <v>0.3</v>
      </c>
      <c r="Q50" s="47">
        <f t="shared" si="15"/>
        <v>0.3</v>
      </c>
      <c r="R50" s="47">
        <f t="shared" si="15"/>
        <v>0.3</v>
      </c>
      <c r="S50" s="47">
        <f t="shared" si="15"/>
        <v>0.3</v>
      </c>
      <c r="T50" s="47">
        <f t="shared" si="15"/>
        <v>0.3</v>
      </c>
      <c r="U50" s="47">
        <f t="shared" si="15"/>
        <v>0.3</v>
      </c>
      <c r="V50" s="47">
        <f t="shared" si="15"/>
        <v>0.3</v>
      </c>
      <c r="W50" s="47">
        <f t="shared" si="15"/>
        <v>0.3</v>
      </c>
      <c r="X50" s="47">
        <f t="shared" si="15"/>
        <v>0.3</v>
      </c>
      <c r="Y50" s="47">
        <f t="shared" si="15"/>
        <v>0.3</v>
      </c>
      <c r="Z50" s="48">
        <f t="shared" si="11"/>
        <v>0.22499999999999998</v>
      </c>
      <c r="AA50" s="48">
        <f t="shared" si="12"/>
        <v>0.29999999999999993</v>
      </c>
      <c r="AB50" s="35"/>
      <c r="AC50" s="35"/>
    </row>
    <row r="51" spans="1:29" ht="16" x14ac:dyDescent="0.2">
      <c r="A51" s="46" t="s">
        <v>114</v>
      </c>
      <c r="B51" s="47">
        <f t="shared" ref="B51:Y51" si="16">IFERROR(B35/B30,0)</f>
        <v>0</v>
      </c>
      <c r="C51" s="47">
        <f t="shared" si="16"/>
        <v>0</v>
      </c>
      <c r="D51" s="47">
        <f t="shared" si="16"/>
        <v>0</v>
      </c>
      <c r="E51" s="47">
        <f t="shared" si="16"/>
        <v>0.55000000000000004</v>
      </c>
      <c r="F51" s="47">
        <f t="shared" si="16"/>
        <v>0.55000000000000004</v>
      </c>
      <c r="G51" s="47">
        <f t="shared" si="16"/>
        <v>0.55000000000000004</v>
      </c>
      <c r="H51" s="47">
        <f t="shared" si="16"/>
        <v>0.55000000000000004</v>
      </c>
      <c r="I51" s="47">
        <f t="shared" si="16"/>
        <v>0.55000000000000004</v>
      </c>
      <c r="J51" s="47">
        <f t="shared" si="16"/>
        <v>0.55000000000000004</v>
      </c>
      <c r="K51" s="47">
        <f t="shared" si="16"/>
        <v>0.55000000000000004</v>
      </c>
      <c r="L51" s="47">
        <f t="shared" si="16"/>
        <v>0.55000000000000004</v>
      </c>
      <c r="M51" s="47">
        <f t="shared" si="16"/>
        <v>0.55000000000000004</v>
      </c>
      <c r="N51" s="47">
        <f t="shared" si="16"/>
        <v>0.55000000000000004</v>
      </c>
      <c r="O51" s="47">
        <f t="shared" si="16"/>
        <v>0.55000000000000004</v>
      </c>
      <c r="P51" s="47">
        <f t="shared" si="16"/>
        <v>0.55000000000000004</v>
      </c>
      <c r="Q51" s="47">
        <f t="shared" si="16"/>
        <v>0.55000000000000004</v>
      </c>
      <c r="R51" s="47">
        <f t="shared" si="16"/>
        <v>0.55000000000000004</v>
      </c>
      <c r="S51" s="47">
        <f t="shared" si="16"/>
        <v>0.55000000000000004</v>
      </c>
      <c r="T51" s="47">
        <f t="shared" si="16"/>
        <v>0.55000000000000004</v>
      </c>
      <c r="U51" s="47">
        <f t="shared" si="16"/>
        <v>0.55000000000000004</v>
      </c>
      <c r="V51" s="47">
        <f t="shared" si="16"/>
        <v>0.55000000000000004</v>
      </c>
      <c r="W51" s="47">
        <f t="shared" si="16"/>
        <v>0.55000000000000004</v>
      </c>
      <c r="X51" s="47">
        <f t="shared" si="16"/>
        <v>0.55000000000000004</v>
      </c>
      <c r="Y51" s="47">
        <f t="shared" si="16"/>
        <v>0.55000000000000004</v>
      </c>
      <c r="Z51" s="48">
        <f t="shared" si="11"/>
        <v>0.41249999999999992</v>
      </c>
      <c r="AA51" s="48">
        <f t="shared" si="12"/>
        <v>0.54999999999999993</v>
      </c>
      <c r="AB51" s="35"/>
      <c r="AC51" s="35"/>
    </row>
    <row r="52" spans="1:29" ht="16" x14ac:dyDescent="0.2">
      <c r="A52" s="46" t="s">
        <v>115</v>
      </c>
      <c r="B52" s="47">
        <f t="shared" ref="B52:Y52" si="17">IFERROR(B44/B15,0)</f>
        <v>0.10237500000000001</v>
      </c>
      <c r="C52" s="47">
        <f t="shared" si="17"/>
        <v>0.19702358490566038</v>
      </c>
      <c r="D52" s="47">
        <f t="shared" si="17"/>
        <v>0.28452888038447849</v>
      </c>
      <c r="E52" s="47">
        <f t="shared" si="17"/>
        <v>0.39140572418842401</v>
      </c>
      <c r="F52" s="47">
        <f t="shared" si="17"/>
        <v>0.51349651892261061</v>
      </c>
      <c r="G52" s="47">
        <f t="shared" si="17"/>
        <v>0.64723717955426396</v>
      </c>
      <c r="H52" s="47">
        <f t="shared" si="17"/>
        <v>0.78958331129394788</v>
      </c>
      <c r="I52" s="47">
        <f t="shared" si="17"/>
        <v>0.93794497137313604</v>
      </c>
      <c r="J52" s="47">
        <f t="shared" si="17"/>
        <v>1.0901290542677227</v>
      </c>
      <c r="K52" s="47">
        <f t="shared" si="17"/>
        <v>1.2442884448444596</v>
      </c>
      <c r="L52" s="47">
        <f t="shared" si="17"/>
        <v>1.3988771775491831</v>
      </c>
      <c r="M52" s="47">
        <f t="shared" si="17"/>
        <v>1.5526109233131395</v>
      </c>
      <c r="N52" s="47">
        <f t="shared" si="17"/>
        <v>1.7591365926097091</v>
      </c>
      <c r="O52" s="47">
        <f t="shared" si="17"/>
        <v>1.9717668945678439</v>
      </c>
      <c r="P52" s="47">
        <f t="shared" si="17"/>
        <v>2.1900722868896767</v>
      </c>
      <c r="Q52" s="47">
        <f t="shared" si="17"/>
        <v>2.4127053207863014</v>
      </c>
      <c r="R52" s="47">
        <f t="shared" si="17"/>
        <v>2.6384580670605406</v>
      </c>
      <c r="S52" s="47">
        <f t="shared" si="17"/>
        <v>2.866250110614859</v>
      </c>
      <c r="T52" s="47">
        <f t="shared" si="17"/>
        <v>3.0951175022912549</v>
      </c>
      <c r="U52" s="47">
        <f t="shared" si="17"/>
        <v>3.3242025945313602</v>
      </c>
      <c r="V52" s="47">
        <f t="shared" si="17"/>
        <v>3.5527446928759296</v>
      </c>
      <c r="W52" s="47">
        <f t="shared" si="17"/>
        <v>3.7800714604424788</v>
      </c>
      <c r="X52" s="47">
        <f t="shared" si="17"/>
        <v>4.0055910172584044</v>
      </c>
      <c r="Y52" s="47">
        <f t="shared" si="17"/>
        <v>4.2287846807126801</v>
      </c>
      <c r="Z52" s="48">
        <f t="shared" si="11"/>
        <v>0.7624583975497522</v>
      </c>
      <c r="AA52" s="48">
        <f t="shared" si="12"/>
        <v>2.98540843505342</v>
      </c>
      <c r="AB52" s="35"/>
      <c r="AC52" s="35"/>
    </row>
    <row r="53" spans="1:29" ht="15" x14ac:dyDescent="0.2">
      <c r="A53" s="46"/>
      <c r="B53" s="48">
        <f t="shared" ref="B53:Y53" si="18">IFERROR(B44/B15,0)</f>
        <v>0.10237500000000001</v>
      </c>
      <c r="C53" s="48">
        <f t="shared" si="18"/>
        <v>0.19702358490566038</v>
      </c>
      <c r="D53" s="48">
        <f t="shared" si="18"/>
        <v>0.28452888038447849</v>
      </c>
      <c r="E53" s="48">
        <f t="shared" si="18"/>
        <v>0.39140572418842401</v>
      </c>
      <c r="F53" s="48">
        <f t="shared" si="18"/>
        <v>0.51349651892261061</v>
      </c>
      <c r="G53" s="48">
        <f t="shared" si="18"/>
        <v>0.64723717955426396</v>
      </c>
      <c r="H53" s="48">
        <f t="shared" si="18"/>
        <v>0.78958331129394788</v>
      </c>
      <c r="I53" s="48">
        <f t="shared" si="18"/>
        <v>0.93794497137313604</v>
      </c>
      <c r="J53" s="48">
        <f t="shared" si="18"/>
        <v>1.0901290542677227</v>
      </c>
      <c r="K53" s="48">
        <f t="shared" si="18"/>
        <v>1.2442884448444596</v>
      </c>
      <c r="L53" s="48">
        <f t="shared" si="18"/>
        <v>1.3988771775491831</v>
      </c>
      <c r="M53" s="48">
        <f t="shared" si="18"/>
        <v>1.5526109233131395</v>
      </c>
      <c r="N53" s="48">
        <f t="shared" si="18"/>
        <v>1.7591365926097091</v>
      </c>
      <c r="O53" s="48">
        <f t="shared" si="18"/>
        <v>1.9717668945678439</v>
      </c>
      <c r="P53" s="48">
        <f t="shared" si="18"/>
        <v>2.1900722868896767</v>
      </c>
      <c r="Q53" s="48">
        <f t="shared" si="18"/>
        <v>2.4127053207863014</v>
      </c>
      <c r="R53" s="48">
        <f t="shared" si="18"/>
        <v>2.6384580670605406</v>
      </c>
      <c r="S53" s="48">
        <f t="shared" si="18"/>
        <v>2.866250110614859</v>
      </c>
      <c r="T53" s="48">
        <f t="shared" si="18"/>
        <v>3.0951175022912549</v>
      </c>
      <c r="U53" s="48">
        <f t="shared" si="18"/>
        <v>3.3242025945313602</v>
      </c>
      <c r="V53" s="48">
        <f t="shared" si="18"/>
        <v>3.5527446928759296</v>
      </c>
      <c r="W53" s="48">
        <f t="shared" si="18"/>
        <v>3.7800714604424788</v>
      </c>
      <c r="X53" s="48">
        <f t="shared" si="18"/>
        <v>4.0055910172584044</v>
      </c>
      <c r="Y53" s="48">
        <f t="shared" si="18"/>
        <v>4.2287846807126801</v>
      </c>
      <c r="Z53" s="48">
        <f t="shared" si="11"/>
        <v>0.7624583975497522</v>
      </c>
      <c r="AA53" s="48">
        <f t="shared" si="12"/>
        <v>2.98540843505342</v>
      </c>
      <c r="AB53" s="35"/>
      <c r="AC53" s="35"/>
    </row>
    <row r="54" spans="1:29" ht="15" x14ac:dyDescent="0.2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</row>
    <row r="55" spans="1:29" ht="15" x14ac:dyDescent="0.1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</row>
    <row r="56" spans="1:29" ht="15" x14ac:dyDescent="0.15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45"/>
  <sheetViews>
    <sheetView topLeftCell="B11" zoomScale="85" workbookViewId="0">
      <selection activeCell="S56" sqref="S56"/>
    </sheetView>
  </sheetViews>
  <sheetFormatPr baseColWidth="10" defaultColWidth="11.83203125" defaultRowHeight="13" x14ac:dyDescent="0.15"/>
  <sheetData>
    <row r="1" spans="1:29" ht="21" x14ac:dyDescent="0.15">
      <c r="A1" s="32" t="s">
        <v>116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4"/>
      <c r="AC1" s="4"/>
    </row>
    <row r="2" spans="1:29" ht="15" x14ac:dyDescent="0.2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4"/>
      <c r="AC2" s="34"/>
    </row>
    <row r="3" spans="1:29" ht="15" x14ac:dyDescent="0.2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</row>
    <row r="4" spans="1:29" ht="16" x14ac:dyDescent="0.15">
      <c r="A4" s="1" t="s">
        <v>28</v>
      </c>
      <c r="B4" s="37" t="s">
        <v>52</v>
      </c>
      <c r="C4" s="37" t="s">
        <v>53</v>
      </c>
      <c r="D4" s="37" t="s">
        <v>54</v>
      </c>
      <c r="E4" s="37" t="s">
        <v>55</v>
      </c>
      <c r="F4" s="37" t="s">
        <v>56</v>
      </c>
      <c r="G4" s="37" t="s">
        <v>57</v>
      </c>
      <c r="H4" s="37" t="s">
        <v>58</v>
      </c>
      <c r="I4" s="37" t="s">
        <v>59</v>
      </c>
      <c r="J4" s="37" t="s">
        <v>60</v>
      </c>
      <c r="K4" s="37" t="s">
        <v>61</v>
      </c>
      <c r="L4" s="37" t="s">
        <v>62</v>
      </c>
      <c r="M4" s="37" t="s">
        <v>63</v>
      </c>
      <c r="N4" s="37" t="s">
        <v>64</v>
      </c>
      <c r="O4" s="37" t="s">
        <v>65</v>
      </c>
      <c r="P4" s="37" t="s">
        <v>66</v>
      </c>
      <c r="Q4" s="37" t="s">
        <v>67</v>
      </c>
      <c r="R4" s="37" t="s">
        <v>68</v>
      </c>
      <c r="S4" s="37" t="s">
        <v>69</v>
      </c>
      <c r="T4" s="37" t="s">
        <v>70</v>
      </c>
      <c r="U4" s="37" t="s">
        <v>71</v>
      </c>
      <c r="V4" s="37" t="s">
        <v>72</v>
      </c>
      <c r="W4" s="37" t="s">
        <v>73</v>
      </c>
      <c r="X4" s="37" t="s">
        <v>74</v>
      </c>
      <c r="Y4" s="37" t="s">
        <v>75</v>
      </c>
      <c r="Z4" s="37" t="s">
        <v>76</v>
      </c>
      <c r="AA4" s="37" t="s">
        <v>77</v>
      </c>
      <c r="AB4" s="38" t="s">
        <v>117</v>
      </c>
      <c r="AC4" s="38" t="s">
        <v>118</v>
      </c>
    </row>
    <row r="5" spans="1:29" ht="15" x14ac:dyDescent="0.2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</row>
    <row r="6" spans="1:29" ht="16" x14ac:dyDescent="0.2">
      <c r="A6" s="41" t="s">
        <v>119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2"/>
      <c r="AC6" s="42"/>
    </row>
    <row r="7" spans="1:29" ht="16" x14ac:dyDescent="0.2">
      <c r="A7" s="35" t="s">
        <v>120</v>
      </c>
      <c r="B7" s="50">
        <f>'Operating Model'!B36</f>
        <v>0</v>
      </c>
      <c r="C7" s="50">
        <f>'Operating Model'!C36</f>
        <v>0</v>
      </c>
      <c r="D7" s="50">
        <f>'Operating Model'!D36</f>
        <v>0</v>
      </c>
      <c r="E7" s="50">
        <f>'Operating Model'!E36</f>
        <v>80.4375</v>
      </c>
      <c r="F7" s="50">
        <f>'Operating Model'!F36</f>
        <v>240.91031249999997</v>
      </c>
      <c r="G7" s="50">
        <f>'Operating Model'!G36</f>
        <v>481.27163906250001</v>
      </c>
      <c r="H7" s="50">
        <f>'Operating Model'!H36</f>
        <v>801.63114616406256</v>
      </c>
      <c r="I7" s="50">
        <f>'Operating Model'!I36</f>
        <v>1202.3568220447266</v>
      </c>
      <c r="J7" s="50">
        <f>'Operating Model'!J36</f>
        <v>1684.0776255317244</v>
      </c>
      <c r="K7" s="50">
        <f>'Operating Model'!K36</f>
        <v>2247.6869402676257</v>
      </c>
      <c r="L7" s="50">
        <f>'Operating Model'!L36</f>
        <v>2894.3468502841624</v>
      </c>
      <c r="M7" s="50">
        <f>'Operating Model'!M36</f>
        <v>3625.4932554394982</v>
      </c>
      <c r="N7" s="50">
        <f>'Operating Model'!N36</f>
        <v>4442.8418478868025</v>
      </c>
      <c r="O7" s="50">
        <f>'Operating Model'!O36</f>
        <v>5348.3949734741191</v>
      </c>
      <c r="P7" s="50">
        <f>'Operating Model'!P36</f>
        <v>6344.4494047984499</v>
      </c>
      <c r="Q7" s="50">
        <f>'Operating Model'!Q36</f>
        <v>7428.2607518998529</v>
      </c>
      <c r="R7" s="50">
        <f>'Operating Model'!R36</f>
        <v>8597.2905681804041</v>
      </c>
      <c r="S7" s="50">
        <f>'Operating Model'!S36</f>
        <v>9849.1974082279921</v>
      </c>
      <c r="T7" s="50">
        <f>'Operating Model'!T36</f>
        <v>11181.828372070282</v>
      </c>
      <c r="U7" s="50">
        <f>'Operating Model'!U36</f>
        <v>12593.211112438677</v>
      </c>
      <c r="V7" s="50">
        <f>'Operating Model'!V36</f>
        <v>14081.546282816902</v>
      </c>
      <c r="W7" s="50">
        <f>'Operating Model'!W36</f>
        <v>15645.200405184361</v>
      </c>
      <c r="X7" s="50">
        <f>'Operating Model'!X36</f>
        <v>17282.699137443924</v>
      </c>
      <c r="Y7" s="50">
        <f>'Operating Model'!Y36</f>
        <v>18992.720921549779</v>
      </c>
      <c r="Z7" s="50">
        <f>M7</f>
        <v>3625.4932554394982</v>
      </c>
      <c r="AA7" s="50">
        <f>Y7</f>
        <v>18992.720921549779</v>
      </c>
      <c r="AB7" s="35"/>
      <c r="AC7" s="35"/>
    </row>
    <row r="8" spans="1:29" ht="16" x14ac:dyDescent="0.2">
      <c r="A8" s="35" t="s">
        <v>121</v>
      </c>
      <c r="B8" s="51">
        <f>Assumptions!$B$29</f>
        <v>1600</v>
      </c>
      <c r="C8" s="51">
        <f>Assumptions!$B$29</f>
        <v>1600</v>
      </c>
      <c r="D8" s="51">
        <f>Assumptions!$B$29</f>
        <v>1600</v>
      </c>
      <c r="E8" s="51">
        <f>Assumptions!$B$29</f>
        <v>1600</v>
      </c>
      <c r="F8" s="51">
        <f>Assumptions!$B$29</f>
        <v>1600</v>
      </c>
      <c r="G8" s="51">
        <f>Assumptions!$B$29</f>
        <v>1600</v>
      </c>
      <c r="H8" s="51">
        <f>Assumptions!$B$29</f>
        <v>1600</v>
      </c>
      <c r="I8" s="51">
        <f>Assumptions!$B$29</f>
        <v>1600</v>
      </c>
      <c r="J8" s="51">
        <f>Assumptions!$B$29</f>
        <v>1600</v>
      </c>
      <c r="K8" s="51">
        <f>Assumptions!$B$29</f>
        <v>1600</v>
      </c>
      <c r="L8" s="51">
        <f>Assumptions!$B$29</f>
        <v>1600</v>
      </c>
      <c r="M8" s="51">
        <f>Assumptions!$B$29</f>
        <v>1600</v>
      </c>
      <c r="N8" s="51">
        <f>Assumptions!$B$29</f>
        <v>1600</v>
      </c>
      <c r="O8" s="51">
        <f>Assumptions!$B$29</f>
        <v>1600</v>
      </c>
      <c r="P8" s="51">
        <f>Assumptions!$B$29</f>
        <v>1600</v>
      </c>
      <c r="Q8" s="51">
        <f>Assumptions!$B$29</f>
        <v>1600</v>
      </c>
      <c r="R8" s="51">
        <f>Assumptions!$B$29</f>
        <v>1600</v>
      </c>
      <c r="S8" s="51">
        <f>Assumptions!$B$29</f>
        <v>1600</v>
      </c>
      <c r="T8" s="51">
        <f>Assumptions!$B$29</f>
        <v>1600</v>
      </c>
      <c r="U8" s="51">
        <f>Assumptions!$B$29</f>
        <v>1600</v>
      </c>
      <c r="V8" s="51">
        <f>Assumptions!$B$29</f>
        <v>1600</v>
      </c>
      <c r="W8" s="51">
        <f>Assumptions!$B$29</f>
        <v>1600</v>
      </c>
      <c r="X8" s="51">
        <f>Assumptions!$B$29</f>
        <v>1600</v>
      </c>
      <c r="Y8" s="51">
        <f>Assumptions!$B$29</f>
        <v>1600</v>
      </c>
      <c r="Z8" s="51">
        <f>AVERAGE(B8:M8)</f>
        <v>1600</v>
      </c>
      <c r="AA8" s="51">
        <f>AVERAGE(N8:Y8)</f>
        <v>1600</v>
      </c>
      <c r="AB8" s="35"/>
      <c r="AC8" s="35"/>
    </row>
    <row r="9" spans="1:29" ht="16" x14ac:dyDescent="0.2">
      <c r="A9" s="35" t="s">
        <v>122</v>
      </c>
      <c r="B9" s="50">
        <f>'Operating Model'!B44</f>
        <v>146.39625000000001</v>
      </c>
      <c r="C9" s="50">
        <f>'Operating Model'!C44</f>
        <v>298.64834999999999</v>
      </c>
      <c r="D9" s="50">
        <f>'Operating Model'!D44</f>
        <v>457.16620950000004</v>
      </c>
      <c r="E9" s="50">
        <f>'Operating Model'!E44</f>
        <v>666.62378640000009</v>
      </c>
      <c r="F9" s="50">
        <f>'Operating Model'!F44</f>
        <v>927.03685957740004</v>
      </c>
      <c r="G9" s="50">
        <f>'Operating Model'!G44</f>
        <v>1238.5935682880761</v>
      </c>
      <c r="H9" s="50">
        <f>'Operating Model'!H44</f>
        <v>1601.6557954380471</v>
      </c>
      <c r="I9" s="50">
        <f>'Operating Model'!I44</f>
        <v>2016.7610895223688</v>
      </c>
      <c r="J9" s="50">
        <f>'Operating Model'!J44</f>
        <v>2484.6251346126751</v>
      </c>
      <c r="K9" s="50">
        <f>'Operating Model'!K44</f>
        <v>3006.1447794877022</v>
      </c>
      <c r="L9" s="50">
        <f>'Operating Model'!L44</f>
        <v>3582.4016387592628</v>
      </c>
      <c r="M9" s="50">
        <f>'Operating Model'!M44</f>
        <v>4214.6662806550685</v>
      </c>
      <c r="N9" s="50">
        <f>'Operating Model'!N44</f>
        <v>4894.6763853240918</v>
      </c>
      <c r="O9" s="50">
        <f>'Operating Model'!O44</f>
        <v>5623.4631916413982</v>
      </c>
      <c r="P9" s="50">
        <f>'Operating Model'!P44</f>
        <v>6402.2201100164548</v>
      </c>
      <c r="Q9" s="50">
        <f>'Operating Model'!Q44</f>
        <v>7229.367442421033</v>
      </c>
      <c r="R9" s="50">
        <f>'Operating Model'!R44</f>
        <v>8103.4522744923779</v>
      </c>
      <c r="S9" s="50">
        <f>'Operating Model'!S44</f>
        <v>9023.1428347475376</v>
      </c>
      <c r="T9" s="50">
        <f>'Operating Model'!T44</f>
        <v>9987.2231632283565</v>
      </c>
      <c r="U9" s="50">
        <f>'Operating Model'!U44</f>
        <v>10994.588074591731</v>
      </c>
      <c r="V9" s="50">
        <f>'Operating Model'!V44</f>
        <v>12044.238401425178</v>
      </c>
      <c r="W9" s="50">
        <f>'Operating Model'!W44</f>
        <v>13135.276504295147</v>
      </c>
      <c r="X9" s="50">
        <f>'Operating Model'!X44</f>
        <v>14266.90203572698</v>
      </c>
      <c r="Y9" s="50">
        <f>'Operating Model'!Y44</f>
        <v>15438.407945972587</v>
      </c>
      <c r="Z9" s="50">
        <f>M9</f>
        <v>4214.6662806550685</v>
      </c>
      <c r="AA9" s="50">
        <f>Y9</f>
        <v>15438.407945972587</v>
      </c>
      <c r="AB9" s="35"/>
      <c r="AC9" s="35"/>
    </row>
    <row r="10" spans="1:29" ht="16" x14ac:dyDescent="0.2">
      <c r="A10" s="35" t="s">
        <v>123</v>
      </c>
      <c r="B10" s="51">
        <f>Assumptions!$B$30</f>
        <v>2200</v>
      </c>
      <c r="C10" s="51">
        <f>Assumptions!$B$30</f>
        <v>2200</v>
      </c>
      <c r="D10" s="51">
        <f>Assumptions!$B$30</f>
        <v>2200</v>
      </c>
      <c r="E10" s="51">
        <f>Assumptions!$B$30</f>
        <v>2200</v>
      </c>
      <c r="F10" s="51">
        <f>Assumptions!$B$30</f>
        <v>2200</v>
      </c>
      <c r="G10" s="51">
        <f>Assumptions!$B$30</f>
        <v>2200</v>
      </c>
      <c r="H10" s="51">
        <f>Assumptions!$B$30</f>
        <v>2200</v>
      </c>
      <c r="I10" s="51">
        <f>Assumptions!$B$30</f>
        <v>2200</v>
      </c>
      <c r="J10" s="51">
        <f>Assumptions!$B$30</f>
        <v>2200</v>
      </c>
      <c r="K10" s="51">
        <f>Assumptions!$B$30</f>
        <v>2200</v>
      </c>
      <c r="L10" s="51">
        <f>Assumptions!$B$30</f>
        <v>2200</v>
      </c>
      <c r="M10" s="51">
        <f>Assumptions!$B$30</f>
        <v>2200</v>
      </c>
      <c r="N10" s="51">
        <f>Assumptions!$B$30</f>
        <v>2200</v>
      </c>
      <c r="O10" s="51">
        <f>Assumptions!$B$30</f>
        <v>2200</v>
      </c>
      <c r="P10" s="51">
        <f>Assumptions!$B$30</f>
        <v>2200</v>
      </c>
      <c r="Q10" s="51">
        <f>Assumptions!$B$30</f>
        <v>2200</v>
      </c>
      <c r="R10" s="51">
        <f>Assumptions!$B$30</f>
        <v>2200</v>
      </c>
      <c r="S10" s="51">
        <f>Assumptions!$B$30</f>
        <v>2200</v>
      </c>
      <c r="T10" s="51">
        <f>Assumptions!$B$30</f>
        <v>2200</v>
      </c>
      <c r="U10" s="51">
        <f>Assumptions!$B$30</f>
        <v>2200</v>
      </c>
      <c r="V10" s="51">
        <f>Assumptions!$B$30</f>
        <v>2200</v>
      </c>
      <c r="W10" s="51">
        <f>Assumptions!$B$30</f>
        <v>2200</v>
      </c>
      <c r="X10" s="51">
        <f>Assumptions!$B$30</f>
        <v>2200</v>
      </c>
      <c r="Y10" s="51">
        <f>Assumptions!$B$30</f>
        <v>2200</v>
      </c>
      <c r="Z10" s="51">
        <f>AVERAGE(B10:M10)</f>
        <v>2200</v>
      </c>
      <c r="AA10" s="51">
        <f>AVERAGE(N10:Y10)</f>
        <v>2200</v>
      </c>
      <c r="AB10" s="35"/>
      <c r="AC10" s="35"/>
    </row>
    <row r="11" spans="1:29" ht="15" x14ac:dyDescent="0.2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</row>
    <row r="12" spans="1:29" ht="16" x14ac:dyDescent="0.2">
      <c r="A12" s="41" t="s">
        <v>124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2"/>
      <c r="AC12" s="42"/>
    </row>
    <row r="13" spans="1:29" ht="16" x14ac:dyDescent="0.2">
      <c r="A13" s="35" t="s">
        <v>125</v>
      </c>
      <c r="B13" s="52">
        <f t="shared" ref="B13:Y13" si="0">B7*B8</f>
        <v>0</v>
      </c>
      <c r="C13" s="52">
        <f t="shared" si="0"/>
        <v>0</v>
      </c>
      <c r="D13" s="52">
        <f t="shared" si="0"/>
        <v>0</v>
      </c>
      <c r="E13" s="52">
        <f t="shared" si="0"/>
        <v>128700</v>
      </c>
      <c r="F13" s="52">
        <f t="shared" si="0"/>
        <v>385456.49999999994</v>
      </c>
      <c r="G13" s="52">
        <f t="shared" si="0"/>
        <v>770034.62250000006</v>
      </c>
      <c r="H13" s="52">
        <f t="shared" si="0"/>
        <v>1282609.8338625</v>
      </c>
      <c r="I13" s="52">
        <f t="shared" si="0"/>
        <v>1923770.9152715625</v>
      </c>
      <c r="J13" s="52">
        <f t="shared" si="0"/>
        <v>2694524.2008507592</v>
      </c>
      <c r="K13" s="52">
        <f t="shared" si="0"/>
        <v>3596299.104428201</v>
      </c>
      <c r="L13" s="52">
        <f t="shared" si="0"/>
        <v>4630954.9604546595</v>
      </c>
      <c r="M13" s="52">
        <f t="shared" si="0"/>
        <v>5800789.2087031975</v>
      </c>
      <c r="N13" s="52">
        <f t="shared" si="0"/>
        <v>7108546.9566188836</v>
      </c>
      <c r="O13" s="52">
        <f t="shared" si="0"/>
        <v>8557431.9575585909</v>
      </c>
      <c r="P13" s="52">
        <f t="shared" si="0"/>
        <v>10151119.047677521</v>
      </c>
      <c r="Q13" s="52">
        <f t="shared" si="0"/>
        <v>11885217.203039765</v>
      </c>
      <c r="R13" s="52">
        <f t="shared" si="0"/>
        <v>13755664.909088647</v>
      </c>
      <c r="S13" s="52">
        <f t="shared" si="0"/>
        <v>15758715.853164788</v>
      </c>
      <c r="T13" s="52">
        <f t="shared" si="0"/>
        <v>17890925.395312451</v>
      </c>
      <c r="U13" s="52">
        <f t="shared" si="0"/>
        <v>20149137.779901884</v>
      </c>
      <c r="V13" s="52">
        <f t="shared" si="0"/>
        <v>22530474.052507043</v>
      </c>
      <c r="W13" s="52">
        <f t="shared" si="0"/>
        <v>25032320.648294978</v>
      </c>
      <c r="X13" s="52">
        <f t="shared" si="0"/>
        <v>27652318.619910277</v>
      </c>
      <c r="Y13" s="52">
        <f t="shared" si="0"/>
        <v>30388353.474479645</v>
      </c>
      <c r="Z13" s="52">
        <f>SUM(B13:M13)</f>
        <v>21213139.346070878</v>
      </c>
      <c r="AA13" s="52">
        <f>SUM(N13:Y13)</f>
        <v>210860225.89755449</v>
      </c>
      <c r="AB13" s="35"/>
      <c r="AC13" s="35"/>
    </row>
    <row r="14" spans="1:29" ht="16" x14ac:dyDescent="0.2">
      <c r="A14" s="35" t="s">
        <v>126</v>
      </c>
      <c r="B14" s="52">
        <f t="shared" ref="B14:Y14" si="1">B9*B10</f>
        <v>322071.75</v>
      </c>
      <c r="C14" s="52">
        <f t="shared" si="1"/>
        <v>657026.37</v>
      </c>
      <c r="D14" s="52">
        <f t="shared" si="1"/>
        <v>1005765.6609000001</v>
      </c>
      <c r="E14" s="52">
        <f t="shared" si="1"/>
        <v>1466572.3300800002</v>
      </c>
      <c r="F14" s="52">
        <f t="shared" si="1"/>
        <v>2039481.0910702802</v>
      </c>
      <c r="G14" s="52">
        <f t="shared" si="1"/>
        <v>2724905.8502337672</v>
      </c>
      <c r="H14" s="52">
        <f t="shared" si="1"/>
        <v>3523642.7499637036</v>
      </c>
      <c r="I14" s="52">
        <f t="shared" si="1"/>
        <v>4436874.3969492111</v>
      </c>
      <c r="J14" s="52">
        <f t="shared" si="1"/>
        <v>5466175.2961478848</v>
      </c>
      <c r="K14" s="52">
        <f t="shared" si="1"/>
        <v>6613518.5148729449</v>
      </c>
      <c r="L14" s="52">
        <f t="shared" si="1"/>
        <v>7881283.6052703783</v>
      </c>
      <c r="M14" s="52">
        <f t="shared" si="1"/>
        <v>9272265.8174411505</v>
      </c>
      <c r="N14" s="52">
        <f t="shared" si="1"/>
        <v>10768288.047713002</v>
      </c>
      <c r="O14" s="52">
        <f t="shared" si="1"/>
        <v>12371619.021611076</v>
      </c>
      <c r="P14" s="52">
        <f t="shared" si="1"/>
        <v>14084884.242036201</v>
      </c>
      <c r="Q14" s="52">
        <f t="shared" si="1"/>
        <v>15904608.373326272</v>
      </c>
      <c r="R14" s="52">
        <f t="shared" si="1"/>
        <v>17827595.003883231</v>
      </c>
      <c r="S14" s="52">
        <f t="shared" si="1"/>
        <v>19850914.236444581</v>
      </c>
      <c r="T14" s="52">
        <f t="shared" si="1"/>
        <v>21971890.959102385</v>
      </c>
      <c r="U14" s="52">
        <f t="shared" si="1"/>
        <v>24188093.764101807</v>
      </c>
      <c r="V14" s="52">
        <f t="shared" si="1"/>
        <v>26497324.483135391</v>
      </c>
      <c r="W14" s="52">
        <f t="shared" si="1"/>
        <v>28897608.309449323</v>
      </c>
      <c r="X14" s="52">
        <f t="shared" si="1"/>
        <v>31387184.478599355</v>
      </c>
      <c r="Y14" s="52">
        <f t="shared" si="1"/>
        <v>33964497.48113969</v>
      </c>
      <c r="Z14" s="52">
        <f>SUM(B14:M14)</f>
        <v>45409583.432929322</v>
      </c>
      <c r="AA14" s="52">
        <f>SUM(N14:Y14)</f>
        <v>257714508.40054229</v>
      </c>
      <c r="AB14" s="35"/>
      <c r="AC14" s="35"/>
    </row>
    <row r="15" spans="1:29" ht="16" x14ac:dyDescent="0.2">
      <c r="A15" s="53" t="s">
        <v>127</v>
      </c>
      <c r="B15" s="54">
        <f t="shared" ref="B15:Y15" si="2">SUM(B13:B14)</f>
        <v>322071.75</v>
      </c>
      <c r="C15" s="54">
        <f t="shared" si="2"/>
        <v>657026.37</v>
      </c>
      <c r="D15" s="54">
        <f t="shared" si="2"/>
        <v>1005765.6609000001</v>
      </c>
      <c r="E15" s="54">
        <f t="shared" si="2"/>
        <v>1595272.3300800002</v>
      </c>
      <c r="F15" s="54">
        <f t="shared" si="2"/>
        <v>2424937.5910702799</v>
      </c>
      <c r="G15" s="54">
        <f t="shared" si="2"/>
        <v>3494940.4727337672</v>
      </c>
      <c r="H15" s="54">
        <f t="shared" si="2"/>
        <v>4806252.5838262038</v>
      </c>
      <c r="I15" s="54">
        <f t="shared" si="2"/>
        <v>6360645.3122207737</v>
      </c>
      <c r="J15" s="54">
        <f t="shared" si="2"/>
        <v>8160699.4969986435</v>
      </c>
      <c r="K15" s="54">
        <f t="shared" si="2"/>
        <v>10209817.619301146</v>
      </c>
      <c r="L15" s="54">
        <f t="shared" si="2"/>
        <v>12512238.565725038</v>
      </c>
      <c r="M15" s="54">
        <f t="shared" si="2"/>
        <v>15073055.026144348</v>
      </c>
      <c r="N15" s="54">
        <f t="shared" si="2"/>
        <v>17876835.004331887</v>
      </c>
      <c r="O15" s="54">
        <f t="shared" si="2"/>
        <v>20929050.979169667</v>
      </c>
      <c r="P15" s="54">
        <f t="shared" si="2"/>
        <v>24236003.289713722</v>
      </c>
      <c r="Q15" s="54">
        <f t="shared" si="2"/>
        <v>27789825.576366037</v>
      </c>
      <c r="R15" s="54">
        <f t="shared" si="2"/>
        <v>31583259.912971877</v>
      </c>
      <c r="S15" s="54">
        <f t="shared" si="2"/>
        <v>35609630.08960937</v>
      </c>
      <c r="T15" s="54">
        <f t="shared" si="2"/>
        <v>39862816.354414836</v>
      </c>
      <c r="U15" s="54">
        <f t="shared" si="2"/>
        <v>44337231.544003695</v>
      </c>
      <c r="V15" s="54">
        <f t="shared" si="2"/>
        <v>49027798.53564243</v>
      </c>
      <c r="W15" s="54">
        <f t="shared" si="2"/>
        <v>53929928.9577443</v>
      </c>
      <c r="X15" s="54">
        <f t="shared" si="2"/>
        <v>59039503.098509632</v>
      </c>
      <c r="Y15" s="54">
        <f t="shared" si="2"/>
        <v>64352850.955619335</v>
      </c>
      <c r="Z15" s="54">
        <f>SUM(B15:M15)</f>
        <v>66622722.7790002</v>
      </c>
      <c r="AA15" s="54">
        <f>SUM(N15:Y15)</f>
        <v>468574734.29809672</v>
      </c>
      <c r="AB15" s="35"/>
      <c r="AC15" s="35"/>
    </row>
    <row r="16" spans="1:29" ht="16" x14ac:dyDescent="0.2">
      <c r="A16" s="35" t="s">
        <v>128</v>
      </c>
      <c r="B16" s="55">
        <f t="shared" ref="B16:AA16" si="3">IFERROR(B13/B15,0)</f>
        <v>0</v>
      </c>
      <c r="C16" s="55">
        <f t="shared" si="3"/>
        <v>0</v>
      </c>
      <c r="D16" s="55">
        <f t="shared" si="3"/>
        <v>0</v>
      </c>
      <c r="E16" s="55">
        <f t="shared" si="3"/>
        <v>8.0675880583690629E-2</v>
      </c>
      <c r="F16" s="55">
        <f t="shared" si="3"/>
        <v>0.1589552248352393</v>
      </c>
      <c r="G16" s="55">
        <f t="shared" si="3"/>
        <v>0.22032839429098303</v>
      </c>
      <c r="H16" s="55">
        <f t="shared" si="3"/>
        <v>0.26686276085004018</v>
      </c>
      <c r="I16" s="55">
        <f t="shared" si="3"/>
        <v>0.30244901591594825</v>
      </c>
      <c r="J16" s="55">
        <f t="shared" si="3"/>
        <v>0.33018299495548831</v>
      </c>
      <c r="K16" s="55">
        <f t="shared" si="3"/>
        <v>0.35223930911650947</v>
      </c>
      <c r="L16" s="55">
        <f t="shared" si="3"/>
        <v>0.37011402365203488</v>
      </c>
      <c r="M16" s="55">
        <f t="shared" si="3"/>
        <v>0.38484495668871882</v>
      </c>
      <c r="N16" s="55">
        <f t="shared" si="3"/>
        <v>0.39764012784681135</v>
      </c>
      <c r="O16" s="55">
        <f t="shared" si="3"/>
        <v>0.40887816490464185</v>
      </c>
      <c r="P16" s="55">
        <f t="shared" si="3"/>
        <v>0.41884459769758625</v>
      </c>
      <c r="Q16" s="55">
        <f t="shared" si="3"/>
        <v>0.42768232461119127</v>
      </c>
      <c r="R16" s="55">
        <f t="shared" si="3"/>
        <v>0.43553657687624958</v>
      </c>
      <c r="S16" s="55">
        <f t="shared" si="3"/>
        <v>0.44254084677400418</v>
      </c>
      <c r="T16" s="55">
        <f t="shared" si="3"/>
        <v>0.44881237783719757</v>
      </c>
      <c r="U16" s="55">
        <f t="shared" si="3"/>
        <v>0.45445186986707375</v>
      </c>
      <c r="V16" s="55">
        <f t="shared" si="3"/>
        <v>0.4595448852578552</v>
      </c>
      <c r="W16" s="55">
        <f t="shared" si="3"/>
        <v>0.46416379795175594</v>
      </c>
      <c r="X16" s="55">
        <f t="shared" si="3"/>
        <v>0.46836977224844428</v>
      </c>
      <c r="Y16" s="55">
        <f t="shared" si="3"/>
        <v>0.4722145642846009</v>
      </c>
      <c r="Z16" s="55">
        <f t="shared" si="3"/>
        <v>0.31840697079341468</v>
      </c>
      <c r="AA16" s="55">
        <f t="shared" si="3"/>
        <v>0.45000340492837998</v>
      </c>
      <c r="AB16" s="35"/>
      <c r="AC16" s="35"/>
    </row>
    <row r="17" spans="1:29" ht="16" x14ac:dyDescent="0.2">
      <c r="A17" s="35" t="s">
        <v>129</v>
      </c>
      <c r="B17" s="55">
        <f t="shared" ref="B17:AA17" si="4">IFERROR(B14/B15,0)</f>
        <v>1</v>
      </c>
      <c r="C17" s="55">
        <f t="shared" si="4"/>
        <v>1</v>
      </c>
      <c r="D17" s="55">
        <f t="shared" si="4"/>
        <v>1</v>
      </c>
      <c r="E17" s="55">
        <f t="shared" si="4"/>
        <v>0.91932411941630932</v>
      </c>
      <c r="F17" s="55">
        <f t="shared" si="4"/>
        <v>0.84104477516476073</v>
      </c>
      <c r="G17" s="55">
        <f t="shared" si="4"/>
        <v>0.77967160570901695</v>
      </c>
      <c r="H17" s="55">
        <f t="shared" si="4"/>
        <v>0.73313723914995976</v>
      </c>
      <c r="I17" s="55">
        <f t="shared" si="4"/>
        <v>0.6975509840840517</v>
      </c>
      <c r="J17" s="55">
        <f t="shared" si="4"/>
        <v>0.66981700504451169</v>
      </c>
      <c r="K17" s="55">
        <f t="shared" si="4"/>
        <v>0.64776069088349053</v>
      </c>
      <c r="L17" s="55">
        <f t="shared" si="4"/>
        <v>0.62988597634796517</v>
      </c>
      <c r="M17" s="55">
        <f t="shared" si="4"/>
        <v>0.61515504331128112</v>
      </c>
      <c r="N17" s="55">
        <f t="shared" si="4"/>
        <v>0.60235987215318865</v>
      </c>
      <c r="O17" s="55">
        <f t="shared" si="4"/>
        <v>0.59112183509535821</v>
      </c>
      <c r="P17" s="55">
        <f t="shared" si="4"/>
        <v>0.5811554023024138</v>
      </c>
      <c r="Q17" s="55">
        <f t="shared" si="4"/>
        <v>0.57231767538880873</v>
      </c>
      <c r="R17" s="55">
        <f t="shared" si="4"/>
        <v>0.56446342312375053</v>
      </c>
      <c r="S17" s="55">
        <f t="shared" si="4"/>
        <v>0.55745915322599582</v>
      </c>
      <c r="T17" s="55">
        <f t="shared" si="4"/>
        <v>0.55118762216280237</v>
      </c>
      <c r="U17" s="55">
        <f t="shared" si="4"/>
        <v>0.54554813013292613</v>
      </c>
      <c r="V17" s="55">
        <f t="shared" si="4"/>
        <v>0.5404551147421448</v>
      </c>
      <c r="W17" s="55">
        <f t="shared" si="4"/>
        <v>0.535836202048244</v>
      </c>
      <c r="X17" s="55">
        <f t="shared" si="4"/>
        <v>0.53163022775155566</v>
      </c>
      <c r="Y17" s="55">
        <f t="shared" si="4"/>
        <v>0.52778543571539915</v>
      </c>
      <c r="Z17" s="55">
        <f t="shared" si="4"/>
        <v>0.68159302920658538</v>
      </c>
      <c r="AA17" s="55">
        <f t="shared" si="4"/>
        <v>0.54999659507162013</v>
      </c>
      <c r="AB17" s="35"/>
      <c r="AC17" s="35"/>
    </row>
    <row r="18" spans="1:29" ht="15" x14ac:dyDescent="0.2">
      <c r="A18" s="35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35"/>
      <c r="AC18" s="35"/>
    </row>
    <row r="19" spans="1:29" ht="16" x14ac:dyDescent="0.2">
      <c r="A19" s="41" t="s">
        <v>130</v>
      </c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2"/>
      <c r="AC19" s="42"/>
    </row>
    <row r="20" spans="1:29" ht="16" x14ac:dyDescent="0.2">
      <c r="A20" s="57" t="s">
        <v>131</v>
      </c>
      <c r="B20" s="58">
        <f>IFERROR(B15/'Operating Model'!B18,0)</f>
        <v>32.052024432997278</v>
      </c>
      <c r="C20" s="58">
        <f>IFERROR(C15/'Operating Model'!C18,0)</f>
        <v>32.952245305336717</v>
      </c>
      <c r="D20" s="58">
        <f>IFERROR(D15/'Operating Model'!D18,0)</f>
        <v>33.841076616211318</v>
      </c>
      <c r="E20" s="58">
        <f>IFERROR(E15/'Operating Model'!E18,0)</f>
        <v>40.44749364058648</v>
      </c>
      <c r="F20" s="58">
        <f>IFERROR(F15/'Operating Model'!F18,0)</f>
        <v>49.341588337106025</v>
      </c>
      <c r="G20" s="58">
        <f>IFERROR(G15/'Operating Model'!G18,0)</f>
        <v>59.355583399434821</v>
      </c>
      <c r="H20" s="58">
        <f>IFERROR(H15/'Operating Model'!H18,0)</f>
        <v>69.968879321883506</v>
      </c>
      <c r="I20" s="58">
        <f>IFERROR(I15/'Operating Model'!I18,0)</f>
        <v>80.904541285236405</v>
      </c>
      <c r="J20" s="58">
        <f>IFERROR(J15/'Operating Model'!J18,0)</f>
        <v>91.994969141669486</v>
      </c>
      <c r="K20" s="58">
        <f>IFERROR(K15/'Operating Model'!K18,0)</f>
        <v>103.12829634562914</v>
      </c>
      <c r="L20" s="58">
        <f>IFERROR(L15/'Operating Model'!L18,0)</f>
        <v>114.22411961228498</v>
      </c>
      <c r="M20" s="58">
        <f>IFERROR(M15/'Operating Model'!M18,0)</f>
        <v>125.2214259135387</v>
      </c>
      <c r="N20" s="58">
        <f>IFERROR(N15/'Operating Model'!N18,0)</f>
        <v>136.60278667778459</v>
      </c>
      <c r="O20" s="58">
        <f>IFERROR(O15/'Operating Model'!O18,0)</f>
        <v>148.36225063889657</v>
      </c>
      <c r="P20" s="58">
        <f>IFERROR(P15/'Operating Model'!P18,0)</f>
        <v>160.49662733300949</v>
      </c>
      <c r="Q20" s="58">
        <f>IFERROR(Q15/'Operating Model'!Q18,0)</f>
        <v>172.91116439237763</v>
      </c>
      <c r="R20" s="58">
        <f>IFERROR(R15/'Operating Model'!R18,0)</f>
        <v>185.53181034987034</v>
      </c>
      <c r="S20" s="58">
        <f>IFERROR(S15/'Operating Model'!S18,0)</f>
        <v>198.29872335431989</v>
      </c>
      <c r="T20" s="58">
        <f>IFERROR(T15/'Operating Model'!T18,0)</f>
        <v>211.16219094358203</v>
      </c>
      <c r="U20" s="58">
        <f>IFERROR(U15/'Operating Model'!U18,0)</f>
        <v>224.07998303314423</v>
      </c>
      <c r="V20" s="58">
        <f>IFERROR(V15/'Operating Model'!V18,0)</f>
        <v>237.01558698568769</v>
      </c>
      <c r="W20" s="58">
        <f>IFERROR(W15/'Operating Model'!W18,0)</f>
        <v>249.93700174497107</v>
      </c>
      <c r="X20" s="58">
        <f>IFERROR(X15/'Operating Model'!X18,0)</f>
        <v>262.81589521409001</v>
      </c>
      <c r="Y20" s="58">
        <f>IFERROR(Y15/'Operating Model'!Y18,0)</f>
        <v>275.62700263709007</v>
      </c>
      <c r="Z20" s="58">
        <f>AVERAGE(B20:M20)</f>
        <v>69.452686945992909</v>
      </c>
      <c r="AA20" s="58">
        <f>AVERAGE(N20:Y20)</f>
        <v>205.23675194206862</v>
      </c>
      <c r="AB20" s="35"/>
      <c r="AC20" s="35"/>
    </row>
    <row r="21" spans="1:29" ht="16" x14ac:dyDescent="0.2">
      <c r="A21" s="57" t="s">
        <v>132</v>
      </c>
      <c r="B21" s="58">
        <f>IFERROR(B15/'Operating Model'!B11,0)</f>
        <v>146.39625000000001</v>
      </c>
      <c r="C21" s="58">
        <f>IFERROR(C15/'Operating Model'!C11,0)</f>
        <v>144.97492718446603</v>
      </c>
      <c r="D21" s="58">
        <f>IFERROR(D15/'Operating Model'!D11,0)</f>
        <v>143.6003924802111</v>
      </c>
      <c r="E21" s="58">
        <f>IFERROR(E15/'Operating Model'!E11,0)</f>
        <v>165.75712848853476</v>
      </c>
      <c r="F21" s="58">
        <f>IFERROR(F15/'Operating Model'!F11,0)</f>
        <v>195.53418178461257</v>
      </c>
      <c r="G21" s="58">
        <f>IFERROR(G15/'Operating Model'!G11,0)</f>
        <v>227.7472056974575</v>
      </c>
      <c r="H21" s="58">
        <f>IFERROR(H15/'Operating Model'!H11,0)</f>
        <v>260.26954016831922</v>
      </c>
      <c r="I21" s="58">
        <f>IFERROR(I15/'Operating Model'!I11,0)</f>
        <v>292.11536135028592</v>
      </c>
      <c r="J21" s="58">
        <f>IFERROR(J15/'Operating Model'!J11,0)</f>
        <v>322.80104973509071</v>
      </c>
      <c r="K21" s="58">
        <f>IFERROR(K15/'Operating Model'!K11,0)</f>
        <v>352.09000753585349</v>
      </c>
      <c r="L21" s="58">
        <f>IFERROR(L15/'Operating Model'!L11,0)</f>
        <v>379.87689817364594</v>
      </c>
      <c r="M21" s="58">
        <f>IFERROR(M15/'Operating Model'!M11,0)</f>
        <v>406.12996620050825</v>
      </c>
      <c r="N21" s="58">
        <f>IFERROR(N15/'Operating Model'!N11,0)</f>
        <v>431.86462866940093</v>
      </c>
      <c r="O21" s="58">
        <f>IFERROR(O15/'Operating Model'!O11,0)</f>
        <v>457.14370891363495</v>
      </c>
      <c r="P21" s="58">
        <f>IFERROR(P15/'Operating Model'!P11,0)</f>
        <v>482.02472295164893</v>
      </c>
      <c r="Q21" s="58">
        <f>IFERROR(Q15/'Operating Model'!Q11,0)</f>
        <v>506.28773129784901</v>
      </c>
      <c r="R21" s="58">
        <f>IFERROR(R15/'Operating Model'!R11,0)</f>
        <v>529.79208322094973</v>
      </c>
      <c r="S21" s="58">
        <f>IFERROR(S15/'Operating Model'!S11,0)</f>
        <v>552.45027380210649</v>
      </c>
      <c r="T21" s="58">
        <f>IFERROR(T15/'Operating Model'!T11,0)</f>
        <v>574.21115355762595</v>
      </c>
      <c r="U21" s="58">
        <f>IFERROR(U15/'Operating Model'!U11,0)</f>
        <v>595.04882823589696</v>
      </c>
      <c r="V21" s="58">
        <f>IFERROR(V15/'Operating Model'!V11,0)</f>
        <v>614.9551373152259</v>
      </c>
      <c r="W21" s="58">
        <f>IFERROR(W15/'Operating Model'!W11,0)</f>
        <v>633.93444900206725</v>
      </c>
      <c r="X21" s="58">
        <f>IFERROR(X15/'Operating Model'!X11,0)</f>
        <v>651.9999929706006</v>
      </c>
      <c r="Y21" s="58">
        <f>IFERROR(Y15/'Operating Model'!Y11,0)</f>
        <v>669.17123678775624</v>
      </c>
      <c r="Z21" s="58">
        <f>AVERAGE(B21:M21)</f>
        <v>253.10774239991545</v>
      </c>
      <c r="AA21" s="58">
        <f>AVERAGE(N21:Y21)</f>
        <v>558.24032889373029</v>
      </c>
      <c r="AB21" s="35"/>
      <c r="AC21" s="35"/>
    </row>
    <row r="22" spans="1:29" ht="16" x14ac:dyDescent="0.2">
      <c r="A22" s="57" t="s">
        <v>133</v>
      </c>
      <c r="B22" s="59">
        <f>IFERROR(B9/'Operating Model'!B17,0)</f>
        <v>0.10237500000000001</v>
      </c>
      <c r="C22" s="59">
        <f>IFERROR(C9/'Operating Model'!C17,0)</f>
        <v>0.10390298507462686</v>
      </c>
      <c r="D22" s="59">
        <f>IFERROR(D9/'Operating Model'!D17,0)</f>
        <v>0.10540260789291483</v>
      </c>
      <c r="E22" s="59">
        <f>IFERROR(E9/'Operating Model'!E17,0)</f>
        <v>0.11446898570667713</v>
      </c>
      <c r="F22" s="59">
        <f>IFERROR(F9/'Operating Model'!F17,0)</f>
        <v>0.12633750521072579</v>
      </c>
      <c r="G22" s="59">
        <f>IFERROR(G9/'Operating Model'!G17,0)</f>
        <v>0.1394097649526963</v>
      </c>
      <c r="H22" s="59">
        <f>IFERROR(H9/'Operating Model'!H17,0)</f>
        <v>0.15299313123693323</v>
      </c>
      <c r="I22" s="59">
        <f>IFERROR(I9/'Operating Model'!I17,0)</f>
        <v>0.16673566133985165</v>
      </c>
      <c r="J22" s="59">
        <f>IFERROR(J9/'Operating Model'!J17,0)</f>
        <v>0.18043776298072714</v>
      </c>
      <c r="K22" s="59">
        <f>IFERROR(K9/'Operating Model'!K17,0)</f>
        <v>0.19397686389250285</v>
      </c>
      <c r="L22" s="59">
        <f>IFERROR(L9/'Operating Model'!L17,0)</f>
        <v>0.20727316643283267</v>
      </c>
      <c r="M22" s="59">
        <f>IFERROR(M9/'Operating Model'!M17,0)</f>
        <v>0.2202725126231424</v>
      </c>
      <c r="N22" s="59">
        <f>IFERROR(N9/'Operating Model'!N17,0)</f>
        <v>0.23352897686253785</v>
      </c>
      <c r="O22" s="59">
        <f>IFERROR(O9/'Operating Model'!O17,0)</f>
        <v>0.24703727883461615</v>
      </c>
      <c r="P22" s="59">
        <f>IFERROR(P9/'Operating Model'!P17,0)</f>
        <v>0.26079636213942181</v>
      </c>
      <c r="Q22" s="59">
        <f>IFERROR(Q9/'Operating Model'!Q17,0)</f>
        <v>0.27469633533789739</v>
      </c>
      <c r="R22" s="59">
        <f>IFERROR(R9/'Operating Model'!R17,0)</f>
        <v>0.28865572540097739</v>
      </c>
      <c r="S22" s="59">
        <f>IFERROR(S9/'Operating Model'!S17,0)</f>
        <v>0.30261250670272022</v>
      </c>
      <c r="T22" s="59">
        <f>IFERROR(T9/'Operating Model'!T17,0)</f>
        <v>0.31651838562266571</v>
      </c>
      <c r="U22" s="59">
        <f>IFERROR(U9/'Operating Model'!U17,0)</f>
        <v>0.33033504077452841</v>
      </c>
      <c r="V22" s="59">
        <f>IFERROR(V9/'Operating Model'!V17,0)</f>
        <v>0.3440315797440755</v>
      </c>
      <c r="W22" s="59">
        <f>IFERROR(W9/'Operating Model'!W17,0)</f>
        <v>0.35758277580447745</v>
      </c>
      <c r="X22" s="59">
        <f>IFERROR(X9/'Operating Model'!X17,0)</f>
        <v>0.37096781810683932</v>
      </c>
      <c r="Y22" s="59">
        <f>IFERROR(Y9/'Operating Model'!Y17,0)</f>
        <v>0.38416940784641218</v>
      </c>
      <c r="Z22" s="59">
        <f>AVERAGE(B22:M22)</f>
        <v>0.15113216227863591</v>
      </c>
      <c r="AA22" s="59">
        <f>AVERAGE(N22:Y22)</f>
        <v>0.30924434943143081</v>
      </c>
      <c r="AB22" s="35"/>
      <c r="AC22" s="35"/>
    </row>
    <row r="23" spans="1:29" ht="16" x14ac:dyDescent="0.2">
      <c r="A23" s="57" t="s">
        <v>134</v>
      </c>
      <c r="B23" s="59">
        <f>IFERROR(B7/'Operating Model'!B31,0)</f>
        <v>0</v>
      </c>
      <c r="C23" s="59">
        <f>IFERROR(C7/'Operating Model'!C31,0)</f>
        <v>0</v>
      </c>
      <c r="D23" s="59">
        <f>IFERROR(D7/'Operating Model'!D31,0)</f>
        <v>0</v>
      </c>
      <c r="E23" s="59">
        <f>IFERROR(E7/'Operating Model'!E31,0)</f>
        <v>1</v>
      </c>
      <c r="F23" s="59">
        <f>IFERROR(F7/'Operating Model'!F31,0)</f>
        <v>0.99501661129568097</v>
      </c>
      <c r="G23" s="59">
        <f>IFERROR(G7/'Operating Model'!G31,0)</f>
        <v>0.99008373185947607</v>
      </c>
      <c r="H23" s="59">
        <f>IFERROR(H7/'Operating Model'!H31,0)</f>
        <v>0.9852037247365717</v>
      </c>
      <c r="I23" s="59">
        <f>IFERROR(I7/'Operating Model'!I31,0)</f>
        <v>0.98037886893086157</v>
      </c>
      <c r="J23" s="59">
        <f>IFERROR(J7/'Operating Model'!J31,0)</f>
        <v>0.97561135519997622</v>
      </c>
      <c r="K23" s="59">
        <f>IFERROR(K7/'Operating Model'!K31,0)</f>
        <v>0.97090328213803367</v>
      </c>
      <c r="L23" s="59">
        <f>IFERROR(L7/'Operating Model'!L31,0)</f>
        <v>0.96625665256126347</v>
      </c>
      <c r="M23" s="59">
        <f>IFERROR(M7/'Operating Model'!M31,0)</f>
        <v>0.96167337020998522</v>
      </c>
      <c r="N23" s="59">
        <f>IFERROR(N7/'Operating Model'!N31,0)</f>
        <v>0.95715523677866066</v>
      </c>
      <c r="O23" s="59">
        <f>IFERROR(O7/'Operating Model'!O31,0)</f>
        <v>0.95270394928389801</v>
      </c>
      <c r="P23" s="59">
        <f>IFERROR(P7/'Operating Model'!P31,0)</f>
        <v>0.94832109777838824</v>
      </c>
      <c r="Q23" s="59">
        <f>IFERROR(Q7/'Operating Model'!Q31,0)</f>
        <v>0.94397013686426312</v>
      </c>
      <c r="R23" s="59">
        <f>IFERROR(R7/'Operating Model'!R31,0)</f>
        <v>0.93963331726303401</v>
      </c>
      <c r="S23" s="59">
        <f>IFERROR(S7/'Operating Model'!S31,0)</f>
        <v>0.93530293468063253</v>
      </c>
      <c r="T23" s="59">
        <f>IFERROR(T7/'Operating Model'!T31,0)</f>
        <v>0.93097664627128218</v>
      </c>
      <c r="U23" s="59">
        <f>IFERROR(U7/'Operating Model'!U31,0)</f>
        <v>0.92665493300699164</v>
      </c>
      <c r="V23" s="59">
        <f>IFERROR(V7/'Operating Model'!V31,0)</f>
        <v>0.92233971028145745</v>
      </c>
      <c r="W23" s="59">
        <f>IFERROR(W7/'Operating Model'!W31,0)</f>
        <v>0.91803356265349689</v>
      </c>
      <c r="X23" s="59">
        <f>IFERROR(X7/'Operating Model'!X31,0)</f>
        <v>0.91373932288442694</v>
      </c>
      <c r="Y23" s="59">
        <f>IFERROR(Y7/'Operating Model'!Y31,0)</f>
        <v>0.90945984322342921</v>
      </c>
      <c r="Z23" s="59">
        <f>AVERAGE(B23:M23)</f>
        <v>0.73542729974432064</v>
      </c>
      <c r="AA23" s="59">
        <f>AVERAGE(N23:Y23)</f>
        <v>0.93319089091416341</v>
      </c>
      <c r="AB23" s="35"/>
      <c r="AC23" s="35"/>
    </row>
    <row r="24" spans="1:29" ht="15" x14ac:dyDescent="0.2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 ht="15" x14ac:dyDescent="0.2">
      <c r="A25" s="60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</row>
    <row r="26" spans="1:29" ht="15" x14ac:dyDescent="0.2">
      <c r="A26" s="60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</row>
    <row r="27" spans="1:29" ht="15" x14ac:dyDescent="0.2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</row>
    <row r="28" spans="1:29" ht="15" x14ac:dyDescent="0.2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</row>
    <row r="29" spans="1:29" ht="15" x14ac:dyDescent="0.2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</row>
    <row r="30" spans="1:29" ht="15" x14ac:dyDescent="0.2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</row>
    <row r="31" spans="1:29" ht="15" x14ac:dyDescent="0.2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</row>
    <row r="32" spans="1:29" ht="15" x14ac:dyDescent="0.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</row>
    <row r="33" spans="1:29" ht="15" x14ac:dyDescent="0.2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</row>
    <row r="34" spans="1:29" ht="15" x14ac:dyDescent="0.2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</row>
    <row r="35" spans="1:29" ht="15" x14ac:dyDescent="0.2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</row>
    <row r="36" spans="1:29" ht="15" x14ac:dyDescent="0.2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</row>
    <row r="37" spans="1:29" ht="15" x14ac:dyDescent="0.2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</row>
    <row r="38" spans="1:29" ht="15" x14ac:dyDescent="0.2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</row>
    <row r="39" spans="1:29" ht="15" x14ac:dyDescent="0.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</row>
    <row r="40" spans="1:29" ht="15" x14ac:dyDescent="0.2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</row>
    <row r="41" spans="1:29" ht="15" x14ac:dyDescent="0.2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</row>
    <row r="42" spans="1:29" ht="15" x14ac:dyDescent="0.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</row>
    <row r="43" spans="1:29" ht="15" x14ac:dyDescent="0.2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</row>
    <row r="44" spans="1:29" ht="15" x14ac:dyDescent="0.2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</row>
    <row r="45" spans="1:29" ht="15" x14ac:dyDescent="0.2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5"/>
  <sheetViews>
    <sheetView topLeftCell="A19" workbookViewId="0">
      <selection activeCell="AA70" sqref="AA70"/>
    </sheetView>
  </sheetViews>
  <sheetFormatPr baseColWidth="10" defaultColWidth="8.83203125" defaultRowHeight="13" x14ac:dyDescent="0.15"/>
  <cols>
    <col min="1" max="1" width="40" customWidth="1"/>
    <col min="2" max="25" width="11" customWidth="1"/>
    <col min="26" max="27" width="14" customWidth="1"/>
    <col min="28" max="28" width="46" customWidth="1"/>
    <col min="29" max="29" width="29" customWidth="1"/>
  </cols>
  <sheetData>
    <row r="1" spans="1:29" ht="41" customHeight="1" x14ac:dyDescent="0.15">
      <c r="A1" s="32" t="s">
        <v>135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4"/>
      <c r="AC1" s="4"/>
    </row>
    <row r="2" spans="1:29" ht="20" customHeight="1" x14ac:dyDescent="0.2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4"/>
      <c r="AC2" s="34"/>
    </row>
    <row r="3" spans="1:29" ht="18" customHeight="1" x14ac:dyDescent="0.2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</row>
    <row r="4" spans="1:29" ht="21" customHeight="1" x14ac:dyDescent="0.15">
      <c r="A4" s="1" t="s">
        <v>28</v>
      </c>
      <c r="B4" s="37" t="s">
        <v>52</v>
      </c>
      <c r="C4" s="37" t="s">
        <v>53</v>
      </c>
      <c r="D4" s="37" t="s">
        <v>54</v>
      </c>
      <c r="E4" s="37" t="s">
        <v>55</v>
      </c>
      <c r="F4" s="37" t="s">
        <v>56</v>
      </c>
      <c r="G4" s="37" t="s">
        <v>57</v>
      </c>
      <c r="H4" s="37" t="s">
        <v>58</v>
      </c>
      <c r="I4" s="37" t="s">
        <v>59</v>
      </c>
      <c r="J4" s="37" t="s">
        <v>60</v>
      </c>
      <c r="K4" s="37" t="s">
        <v>61</v>
      </c>
      <c r="L4" s="37" t="s">
        <v>62</v>
      </c>
      <c r="M4" s="37" t="s">
        <v>63</v>
      </c>
      <c r="N4" s="37" t="s">
        <v>64</v>
      </c>
      <c r="O4" s="37" t="s">
        <v>65</v>
      </c>
      <c r="P4" s="37" t="s">
        <v>66</v>
      </c>
      <c r="Q4" s="37" t="s">
        <v>67</v>
      </c>
      <c r="R4" s="37" t="s">
        <v>68</v>
      </c>
      <c r="S4" s="37" t="s">
        <v>69</v>
      </c>
      <c r="T4" s="37" t="s">
        <v>70</v>
      </c>
      <c r="U4" s="37" t="s">
        <v>71</v>
      </c>
      <c r="V4" s="37" t="s">
        <v>72</v>
      </c>
      <c r="W4" s="37" t="s">
        <v>73</v>
      </c>
      <c r="X4" s="37" t="s">
        <v>74</v>
      </c>
      <c r="Y4" s="37" t="s">
        <v>75</v>
      </c>
      <c r="Z4" s="37" t="s">
        <v>76</v>
      </c>
      <c r="AA4" s="37" t="s">
        <v>77</v>
      </c>
      <c r="AB4" s="38"/>
      <c r="AC4" s="38"/>
    </row>
    <row r="5" spans="1:29" ht="18" customHeight="1" x14ac:dyDescent="0.2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</row>
    <row r="6" spans="1:29" ht="20" customHeight="1" x14ac:dyDescent="0.2">
      <c r="A6" s="41" t="s">
        <v>136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2"/>
      <c r="AC6" s="42"/>
    </row>
    <row r="7" spans="1:29" ht="20" customHeight="1" x14ac:dyDescent="0.2">
      <c r="A7" s="35" t="s">
        <v>137</v>
      </c>
      <c r="B7" s="50">
        <f>'Operating Model'!B9</f>
        <v>12973.007319641794</v>
      </c>
      <c r="C7" s="50">
        <f>'Operating Model'!C9</f>
        <v>13751.387758820303</v>
      </c>
      <c r="D7" s="50">
        <f>'Operating Model'!D9</f>
        <v>14576.471024349523</v>
      </c>
      <c r="E7" s="50">
        <f>'Operating Model'!E9</f>
        <v>15451.059285810494</v>
      </c>
      <c r="F7" s="50">
        <f>'Operating Model'!F9</f>
        <v>16378.122842959125</v>
      </c>
      <c r="G7" s="50">
        <f>'Operating Model'!G9</f>
        <v>17360.810213536672</v>
      </c>
      <c r="H7" s="50">
        <f>'Operating Model'!H9</f>
        <v>18402.458826348873</v>
      </c>
      <c r="I7" s="50">
        <f>'Operating Model'!I9</f>
        <v>19506.606355929805</v>
      </c>
      <c r="J7" s="50">
        <f>'Operating Model'!J9</f>
        <v>20677.002737285595</v>
      </c>
      <c r="K7" s="50">
        <f>'Operating Model'!K9</f>
        <v>21917.622901522733</v>
      </c>
      <c r="L7" s="50">
        <f>'Operating Model'!L9</f>
        <v>23232.680275614097</v>
      </c>
      <c r="M7" s="50">
        <f>'Operating Model'!M9</f>
        <v>24626.641092150945</v>
      </c>
      <c r="N7" s="50">
        <f>'Operating Model'!N9</f>
        <v>25242.307119454716</v>
      </c>
      <c r="O7" s="50">
        <f>'Operating Model'!O9</f>
        <v>25873.364797441081</v>
      </c>
      <c r="P7" s="50">
        <f>'Operating Model'!P9</f>
        <v>26520.198917377107</v>
      </c>
      <c r="Q7" s="50">
        <f>'Operating Model'!Q9</f>
        <v>27183.203890311532</v>
      </c>
      <c r="R7" s="50">
        <f>'Operating Model'!R9</f>
        <v>27862.783987569321</v>
      </c>
      <c r="S7" s="50">
        <f>'Operating Model'!S9</f>
        <v>28559.353587258553</v>
      </c>
      <c r="T7" s="50">
        <f>'Operating Model'!T9</f>
        <v>29273.337426940012</v>
      </c>
      <c r="U7" s="50">
        <f>'Operating Model'!U9</f>
        <v>30005.170862613508</v>
      </c>
      <c r="V7" s="50">
        <f>'Operating Model'!V9</f>
        <v>30755.300134178844</v>
      </c>
      <c r="W7" s="50">
        <f>'Operating Model'!W9</f>
        <v>31524.182637533311</v>
      </c>
      <c r="X7" s="50">
        <f>'Operating Model'!X9</f>
        <v>32312.287203471646</v>
      </c>
      <c r="Y7" s="50">
        <f>'Operating Model'!Y9</f>
        <v>33120.094383558433</v>
      </c>
      <c r="Z7" s="50">
        <f>SUM(B7:M7)</f>
        <v>218853.87063396996</v>
      </c>
      <c r="AA7" s="50">
        <f>SUM(N7:Y7)</f>
        <v>348231.58494770806</v>
      </c>
      <c r="AB7" s="35"/>
      <c r="AC7" s="35"/>
    </row>
    <row r="8" spans="1:29" ht="20" customHeight="1" x14ac:dyDescent="0.2">
      <c r="A8" s="35" t="s">
        <v>138</v>
      </c>
      <c r="B8" s="51">
        <f>Assumptions!$B$35*(1+Assumptions!$B$39)^(COLUMN()-COLUMN($B$8))</f>
        <v>8.440632750033993</v>
      </c>
      <c r="C8" s="51">
        <f>Assumptions!$B$35*(1+Assumptions!$B$39)^(COLUMN()-COLUMN($B$8))</f>
        <v>8.6094454050346734</v>
      </c>
      <c r="D8" s="51">
        <f>Assumptions!$B$35*(1+Assumptions!$B$39)^(COLUMN()-COLUMN($B$8))</f>
        <v>8.7816343131353669</v>
      </c>
      <c r="E8" s="51">
        <f>Assumptions!$B$35*(1+Assumptions!$B$39)^(COLUMN()-COLUMN($B$8))</f>
        <v>8.9572669993980725</v>
      </c>
      <c r="F8" s="51">
        <f>Assumptions!$B$35*(1+Assumptions!$B$39)^(COLUMN()-COLUMN($B$8))</f>
        <v>9.1364123393860357</v>
      </c>
      <c r="G8" s="51">
        <f>Assumptions!$B$35*(1+Assumptions!$B$39)^(COLUMN()-COLUMN($B$8))</f>
        <v>9.3191405861737557</v>
      </c>
      <c r="H8" s="51">
        <f>Assumptions!$B$35*(1+Assumptions!$B$39)^(COLUMN()-COLUMN($B$8))</f>
        <v>9.5055233978972318</v>
      </c>
      <c r="I8" s="51">
        <f>Assumptions!$B$35*(1+Assumptions!$B$39)^(COLUMN()-COLUMN($B$8))</f>
        <v>9.6956338658551733</v>
      </c>
      <c r="J8" s="51">
        <f>Assumptions!$B$35*(1+Assumptions!$B$39)^(COLUMN()-COLUMN($B$8))</f>
        <v>9.889546543172278</v>
      </c>
      <c r="K8" s="51">
        <f>Assumptions!$B$35*(1+Assumptions!$B$39)^(COLUMN()-COLUMN($B$8))</f>
        <v>10.087337474035724</v>
      </c>
      <c r="L8" s="51">
        <f>Assumptions!$B$35*(1+Assumptions!$B$39)^(COLUMN()-COLUMN($B$8))</f>
        <v>10.289084223516438</v>
      </c>
      <c r="M8" s="51">
        <f>Assumptions!$B$35*(1+Assumptions!$B$39)^(COLUMN()-COLUMN($B$8))</f>
        <v>10.494865907986766</v>
      </c>
      <c r="N8" s="51">
        <f t="array" ref="N8">Assumptions!$E$37/SUMPRODUCT($N$7:$Y$7,(1+Assumptions!$B$39)^(COLUMN($N$7:$Y$7)-COLUMN($N$7)))</f>
        <v>0</v>
      </c>
      <c r="O8" s="51">
        <f>$N$8*(1+Assumptions!$B$39)^(COLUMN()-COLUMN($N$8))</f>
        <v>0</v>
      </c>
      <c r="P8" s="51">
        <f>$N$8*(1+Assumptions!$B$39)^(COLUMN()-COLUMN($N$8))</f>
        <v>0</v>
      </c>
      <c r="Q8" s="51">
        <f>$N$8*(1+Assumptions!$B$39)^(COLUMN()-COLUMN($N$8))</f>
        <v>0</v>
      </c>
      <c r="R8" s="51">
        <f>$N$8*(1+Assumptions!$B$39)^(COLUMN()-COLUMN($N$8))</f>
        <v>0</v>
      </c>
      <c r="S8" s="51">
        <f>$N$8*(1+Assumptions!$B$39)^(COLUMN()-COLUMN($N$8))</f>
        <v>0</v>
      </c>
      <c r="T8" s="51">
        <f>$N$8*(1+Assumptions!$B$39)^(COLUMN()-COLUMN($N$8))</f>
        <v>0</v>
      </c>
      <c r="U8" s="51">
        <f>$N$8*(1+Assumptions!$B$39)^(COLUMN()-COLUMN($N$8))</f>
        <v>0</v>
      </c>
      <c r="V8" s="51">
        <f>$N$8*(1+Assumptions!$B$39)^(COLUMN()-COLUMN($N$8))</f>
        <v>0</v>
      </c>
      <c r="W8" s="51">
        <f>$N$8*(1+Assumptions!$B$39)^(COLUMN()-COLUMN($N$8))</f>
        <v>0</v>
      </c>
      <c r="X8" s="51">
        <f>$N$8*(1+Assumptions!$B$39)^(COLUMN()-COLUMN($N$8))</f>
        <v>0</v>
      </c>
      <c r="Y8" s="51">
        <f>$N$8*(1+Assumptions!$B$39)^(COLUMN()-COLUMN($N$8))</f>
        <v>0</v>
      </c>
      <c r="Z8" s="51">
        <f>AVERAGE(B8:M8)</f>
        <v>9.4338769838021239</v>
      </c>
      <c r="AA8" s="51">
        <f>AVERAGE(N8:Y8)</f>
        <v>0</v>
      </c>
      <c r="AB8" s="35"/>
      <c r="AC8" s="35"/>
    </row>
    <row r="9" spans="1:29" ht="20" customHeight="1" x14ac:dyDescent="0.2">
      <c r="A9" s="35" t="s">
        <v>139</v>
      </c>
      <c r="B9" s="61">
        <f>Assumptions!$B$39</f>
        <v>0.02</v>
      </c>
      <c r="C9" s="61">
        <f>Assumptions!$B$39</f>
        <v>0.02</v>
      </c>
      <c r="D9" s="61">
        <f>Assumptions!$B$39</f>
        <v>0.02</v>
      </c>
      <c r="E9" s="61">
        <f>Assumptions!$B$39</f>
        <v>0.02</v>
      </c>
      <c r="F9" s="61">
        <f>Assumptions!$B$39</f>
        <v>0.02</v>
      </c>
      <c r="G9" s="61">
        <f>Assumptions!$B$39</f>
        <v>0.02</v>
      </c>
      <c r="H9" s="61">
        <f>Assumptions!$B$39</f>
        <v>0.02</v>
      </c>
      <c r="I9" s="61">
        <f>Assumptions!$B$39</f>
        <v>0.02</v>
      </c>
      <c r="J9" s="61">
        <f>Assumptions!$B$39</f>
        <v>0.02</v>
      </c>
      <c r="K9" s="61">
        <f>Assumptions!$B$39</f>
        <v>0.02</v>
      </c>
      <c r="L9" s="61">
        <f>Assumptions!$B$39</f>
        <v>0.02</v>
      </c>
      <c r="M9" s="61">
        <f>Assumptions!$B$39</f>
        <v>0.02</v>
      </c>
      <c r="N9" s="61">
        <f>Assumptions!$B$39</f>
        <v>0.02</v>
      </c>
      <c r="O9" s="61">
        <f>Assumptions!$B$39</f>
        <v>0.02</v>
      </c>
      <c r="P9" s="61">
        <f>Assumptions!$B$39</f>
        <v>0.02</v>
      </c>
      <c r="Q9" s="61">
        <f>Assumptions!$B$39</f>
        <v>0.02</v>
      </c>
      <c r="R9" s="61">
        <f>Assumptions!$B$39</f>
        <v>0.02</v>
      </c>
      <c r="S9" s="61">
        <f>Assumptions!$B$39</f>
        <v>0.02</v>
      </c>
      <c r="T9" s="61">
        <f>Assumptions!$B$39</f>
        <v>0.02</v>
      </c>
      <c r="U9" s="61">
        <f>Assumptions!$B$39</f>
        <v>0.02</v>
      </c>
      <c r="V9" s="61">
        <f>Assumptions!$B$39</f>
        <v>0.02</v>
      </c>
      <c r="W9" s="61">
        <f>Assumptions!$B$39</f>
        <v>0.02</v>
      </c>
      <c r="X9" s="61">
        <f>Assumptions!$B$39</f>
        <v>0.02</v>
      </c>
      <c r="Y9" s="61">
        <f>Assumptions!$B$39</f>
        <v>0.02</v>
      </c>
      <c r="Z9" s="61">
        <f>AVERAGE(B9:M9)</f>
        <v>1.9999999999999997E-2</v>
      </c>
      <c r="AA9" s="61">
        <f>AVERAGE(N9:Y9)</f>
        <v>1.9999999999999997E-2</v>
      </c>
      <c r="AB9" s="35"/>
      <c r="AC9" s="35"/>
    </row>
    <row r="10" spans="1:29" ht="20" customHeight="1" x14ac:dyDescent="0.2">
      <c r="A10" s="35" t="s">
        <v>89</v>
      </c>
      <c r="B10" s="50">
        <f>'Operating Model'!B18</f>
        <v>10048.405855713436</v>
      </c>
      <c r="C10" s="50">
        <f>'Operating Model'!C18</f>
        <v>19938.743594312604</v>
      </c>
      <c r="D10" s="50">
        <f>'Operating Model'!D18</f>
        <v>29720.261926247214</v>
      </c>
      <c r="E10" s="50">
        <f>'Operating Model'!E18</f>
        <v>39440.573110795827</v>
      </c>
      <c r="F10" s="50">
        <f>'Operating Model'!F18</f>
        <v>49145.916716399464</v>
      </c>
      <c r="G10" s="50">
        <f>'Operating Model'!G18</f>
        <v>58881.410518947843</v>
      </c>
      <c r="H10" s="50">
        <f>'Operating Model'!H18</f>
        <v>68691.29004790273</v>
      </c>
      <c r="I10" s="50">
        <f>'Operating Model'!I18</f>
        <v>78619.138198877277</v>
      </c>
      <c r="J10" s="50">
        <f>'Operating Model'!J18</f>
        <v>88708.106249064687</v>
      </c>
      <c r="K10" s="50">
        <f>'Operating Model'!K18</f>
        <v>99001.127538105269</v>
      </c>
      <c r="L10" s="50">
        <f>'Operating Model'!L18</f>
        <v>109541.12501103774</v>
      </c>
      <c r="M10" s="50">
        <f>'Operating Model'!M18</f>
        <v>120371.21376138777</v>
      </c>
      <c r="N10" s="50">
        <f>'Operating Model'!N18</f>
        <v>130867.27905851101</v>
      </c>
      <c r="O10" s="50">
        <f>'Operating Model'!O18</f>
        <v>141067.22491093457</v>
      </c>
      <c r="P10" s="50">
        <f>'Operating Model'!P18</f>
        <v>151006.30893275526</v>
      </c>
      <c r="Q10" s="50">
        <f>'Operating Model'!Q18</f>
        <v>160717.35838470291</v>
      </c>
      <c r="R10" s="50">
        <f>'Operating Model'!R18</f>
        <v>170230.96930608887</v>
      </c>
      <c r="S10" s="50">
        <f>'Operating Model'!S18</f>
        <v>179575.69008642648</v>
      </c>
      <c r="T10" s="50">
        <f>'Operating Model'!T18</f>
        <v>188778.19071817319</v>
      </c>
      <c r="U10" s="50">
        <f>'Operating Model'!U18</f>
        <v>197863.41887327645</v>
      </c>
      <c r="V10" s="50">
        <f>'Operating Model'!V18</f>
        <v>206854.74385531867</v>
      </c>
      <c r="W10" s="50">
        <f>'Operating Model'!W18</f>
        <v>215774.08939542668</v>
      </c>
      <c r="X10" s="50">
        <f>'Operating Model'!X18</f>
        <v>224642.0561831544</v>
      </c>
      <c r="Y10" s="50">
        <f>'Operating Model'!Y18</f>
        <v>233478.03495273224</v>
      </c>
      <c r="Z10" s="50">
        <f>M10</f>
        <v>120371.21376138777</v>
      </c>
      <c r="AA10" s="50">
        <f>Y10</f>
        <v>233478.03495273224</v>
      </c>
      <c r="AB10" s="35"/>
      <c r="AC10" s="35"/>
    </row>
    <row r="11" spans="1:29" ht="20" customHeight="1" x14ac:dyDescent="0.2">
      <c r="A11" s="35" t="s">
        <v>140</v>
      </c>
      <c r="B11" s="51">
        <f>Assumptions!$B$42</f>
        <v>5</v>
      </c>
      <c r="C11" s="51">
        <f>Assumptions!$B$42</f>
        <v>5</v>
      </c>
      <c r="D11" s="51">
        <f>Assumptions!$B$42</f>
        <v>5</v>
      </c>
      <c r="E11" s="51">
        <f>Assumptions!$B$42</f>
        <v>5</v>
      </c>
      <c r="F11" s="51">
        <f>Assumptions!$B$42</f>
        <v>5</v>
      </c>
      <c r="G11" s="51">
        <f>Assumptions!$B$42</f>
        <v>5</v>
      </c>
      <c r="H11" s="51">
        <f>Assumptions!$B$42</f>
        <v>5</v>
      </c>
      <c r="I11" s="51">
        <f>Assumptions!$B$42</f>
        <v>5</v>
      </c>
      <c r="J11" s="51">
        <f>Assumptions!$B$42</f>
        <v>5</v>
      </c>
      <c r="K11" s="51">
        <f>Assumptions!$B$42</f>
        <v>5</v>
      </c>
      <c r="L11" s="51">
        <f>Assumptions!$B$42</f>
        <v>5</v>
      </c>
      <c r="M11" s="51">
        <f>Assumptions!$B$42</f>
        <v>5</v>
      </c>
      <c r="N11" s="51">
        <f>Assumptions!$B$42</f>
        <v>5</v>
      </c>
      <c r="O11" s="51">
        <f>Assumptions!$B$42</f>
        <v>5</v>
      </c>
      <c r="P11" s="51">
        <f>Assumptions!$B$42</f>
        <v>5</v>
      </c>
      <c r="Q11" s="51">
        <f>Assumptions!$B$42</f>
        <v>5</v>
      </c>
      <c r="R11" s="51">
        <f>Assumptions!$B$42</f>
        <v>5</v>
      </c>
      <c r="S11" s="51">
        <f>Assumptions!$B$42</f>
        <v>5</v>
      </c>
      <c r="T11" s="51">
        <f>Assumptions!$B$42</f>
        <v>5</v>
      </c>
      <c r="U11" s="51">
        <f>Assumptions!$B$42</f>
        <v>5</v>
      </c>
      <c r="V11" s="51">
        <f>Assumptions!$B$42</f>
        <v>5</v>
      </c>
      <c r="W11" s="51">
        <f>Assumptions!$B$42</f>
        <v>5</v>
      </c>
      <c r="X11" s="51">
        <f>Assumptions!$B$42</f>
        <v>5</v>
      </c>
      <c r="Y11" s="51">
        <f>Assumptions!$B$42</f>
        <v>5</v>
      </c>
      <c r="Z11" s="51">
        <f>AVERAGE(B11:M11)</f>
        <v>5</v>
      </c>
      <c r="AA11" s="51">
        <f>AVERAGE(N11:Y11)</f>
        <v>5</v>
      </c>
      <c r="AB11" s="35"/>
      <c r="AC11" s="35"/>
    </row>
    <row r="12" spans="1:29" ht="18" customHeight="1" x14ac:dyDescent="0.2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</row>
    <row r="13" spans="1:29" ht="20" customHeight="1" x14ac:dyDescent="0.2">
      <c r="A13" s="41" t="s">
        <v>141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2"/>
      <c r="AC13" s="42"/>
    </row>
    <row r="14" spans="1:29" ht="20" customHeight="1" x14ac:dyDescent="0.2">
      <c r="A14" s="35" t="s">
        <v>142</v>
      </c>
      <c r="B14" s="51">
        <f>IF(COLUMN()-COLUMN($B$14)+1=Assumptions!$B$74,Assumptions!$B$31,0)</f>
        <v>6000000</v>
      </c>
      <c r="C14" s="51">
        <f>IF(COLUMN()-COLUMN($B$14)+1=Assumptions!$B$74,Assumptions!$B$31,0)</f>
        <v>0</v>
      </c>
      <c r="D14" s="51">
        <f>IF(COLUMN()-COLUMN($B$14)+1=Assumptions!$B$74,Assumptions!$B$31,0)</f>
        <v>0</v>
      </c>
      <c r="E14" s="51">
        <f>IF(COLUMN()-COLUMN($B$14)+1=Assumptions!$B$74,Assumptions!$B$31,0)</f>
        <v>0</v>
      </c>
      <c r="F14" s="51">
        <f>IF(COLUMN()-COLUMN($B$14)+1=Assumptions!$B$74,Assumptions!$B$31,0)</f>
        <v>0</v>
      </c>
      <c r="G14" s="51">
        <f>IF(COLUMN()-COLUMN($B$14)+1=Assumptions!$B$74,Assumptions!$B$31,0)</f>
        <v>0</v>
      </c>
      <c r="H14" s="51">
        <f>IF(COLUMN()-COLUMN($B$14)+1=Assumptions!$B$74,Assumptions!$B$31,0)</f>
        <v>0</v>
      </c>
      <c r="I14" s="51">
        <f>IF(COLUMN()-COLUMN($B$14)+1=Assumptions!$B$74,Assumptions!$B$31,0)</f>
        <v>0</v>
      </c>
      <c r="J14" s="51">
        <f>IF(COLUMN()-COLUMN($B$14)+1=Assumptions!$B$74,Assumptions!$B$31,0)</f>
        <v>0</v>
      </c>
      <c r="K14" s="51">
        <f>IF(COLUMN()-COLUMN($B$14)+1=Assumptions!$B$74,Assumptions!$B$31,0)</f>
        <v>0</v>
      </c>
      <c r="L14" s="51">
        <f>IF(COLUMN()-COLUMN($B$14)+1=Assumptions!$B$74,Assumptions!$B$31,0)</f>
        <v>0</v>
      </c>
      <c r="M14" s="51">
        <f>IF(COLUMN()-COLUMN($B$14)+1=Assumptions!$B$74,Assumptions!$B$31,0)</f>
        <v>0</v>
      </c>
      <c r="N14" s="51">
        <f>IF(COLUMN()-COLUMN($B$14)+1=Assumptions!$B$74,Assumptions!$B$31,0)</f>
        <v>0</v>
      </c>
      <c r="O14" s="51">
        <f>IF(COLUMN()-COLUMN($B$14)+1=Assumptions!$B$74,Assumptions!$B$31,0)</f>
        <v>0</v>
      </c>
      <c r="P14" s="51">
        <f>IF(COLUMN()-COLUMN($B$14)+1=Assumptions!$B$74,Assumptions!$B$31,0)</f>
        <v>0</v>
      </c>
      <c r="Q14" s="51">
        <f>IF(COLUMN()-COLUMN($B$14)+1=Assumptions!$B$74,Assumptions!$B$31,0)</f>
        <v>0</v>
      </c>
      <c r="R14" s="51">
        <f>IF(COLUMN()-COLUMN($B$14)+1=Assumptions!$B$74,Assumptions!$B$31,0)</f>
        <v>0</v>
      </c>
      <c r="S14" s="51">
        <f>IF(COLUMN()-COLUMN($B$14)+1=Assumptions!$B$74,Assumptions!$B$31,0)</f>
        <v>0</v>
      </c>
      <c r="T14" s="51">
        <f>IF(COLUMN()-COLUMN($B$14)+1=Assumptions!$B$74,Assumptions!$B$31,0)</f>
        <v>0</v>
      </c>
      <c r="U14" s="51">
        <f>IF(COLUMN()-COLUMN($B$14)+1=Assumptions!$B$74,Assumptions!$B$31,0)</f>
        <v>0</v>
      </c>
      <c r="V14" s="51">
        <f>IF(COLUMN()-COLUMN($B$14)+1=Assumptions!$B$74,Assumptions!$B$31,0)</f>
        <v>0</v>
      </c>
      <c r="W14" s="51">
        <f>IF(COLUMN()-COLUMN($B$14)+1=Assumptions!$B$74,Assumptions!$B$31,0)</f>
        <v>0</v>
      </c>
      <c r="X14" s="51">
        <f>IF(COLUMN()-COLUMN($B$14)+1=Assumptions!$B$74,Assumptions!$B$31,0)</f>
        <v>0</v>
      </c>
      <c r="Y14" s="51">
        <f>IF(COLUMN()-COLUMN($B$14)+1=Assumptions!$B$74,Assumptions!$B$31,0)</f>
        <v>0</v>
      </c>
      <c r="Z14" s="52">
        <f>SUM(B14:M14)</f>
        <v>6000000</v>
      </c>
      <c r="AA14" s="52">
        <f>SUM(N14:Y14)</f>
        <v>0</v>
      </c>
      <c r="AB14" s="35"/>
      <c r="AC14" s="35"/>
    </row>
    <row r="15" spans="1:29" ht="20" customHeight="1" x14ac:dyDescent="0.2">
      <c r="A15" s="35" t="s">
        <v>143</v>
      </c>
      <c r="B15" s="51">
        <f>IF(COLUMN()-COLUMN($B$15)+1&lt;=Assumptions!$B$67,Assumptions!$B$32,IF(COLUMN()-COLUMN($B$15)+1&lt;=Assumptions!$B$68,Assumptions!$B$33,Assumptions!$B$34))</f>
        <v>2000000</v>
      </c>
      <c r="C15" s="51">
        <f>IF(COLUMN()-COLUMN($B$15)+1&lt;=Assumptions!$B$67,Assumptions!$B$32,IF(COLUMN()-COLUMN($B$15)+1&lt;=Assumptions!$B$68,Assumptions!$B$33,Assumptions!$B$34))</f>
        <v>2000000</v>
      </c>
      <c r="D15" s="51">
        <f>IF(COLUMN()-COLUMN($B$15)+1&lt;=Assumptions!$B$67,Assumptions!$B$32,IF(COLUMN()-COLUMN($B$15)+1&lt;=Assumptions!$B$68,Assumptions!$B$33,Assumptions!$B$34))</f>
        <v>2000000</v>
      </c>
      <c r="E15" s="51">
        <f>IF(COLUMN()-COLUMN($B$15)+1&lt;=Assumptions!$B$67,Assumptions!$B$32,IF(COLUMN()-COLUMN($B$15)+1&lt;=Assumptions!$B$68,Assumptions!$B$33,Assumptions!$B$34))</f>
        <v>2000000</v>
      </c>
      <c r="F15" s="51">
        <f>IF(COLUMN()-COLUMN($B$15)+1&lt;=Assumptions!$B$67,Assumptions!$B$32,IF(COLUMN()-COLUMN($B$15)+1&lt;=Assumptions!$B$68,Assumptions!$B$33,Assumptions!$B$34))</f>
        <v>2000000</v>
      </c>
      <c r="G15" s="51">
        <f>IF(COLUMN()-COLUMN($B$15)+1&lt;=Assumptions!$B$67,Assumptions!$B$32,IF(COLUMN()-COLUMN($B$15)+1&lt;=Assumptions!$B$68,Assumptions!$B$33,Assumptions!$B$34))</f>
        <v>2000000</v>
      </c>
      <c r="H15" s="51">
        <f>IF(COLUMN()-COLUMN($B$15)+1&lt;=Assumptions!$B$67,Assumptions!$B$32,IF(COLUMN()-COLUMN($B$15)+1&lt;=Assumptions!$B$68,Assumptions!$B$33,Assumptions!$B$34))</f>
        <v>2600000</v>
      </c>
      <c r="I15" s="51">
        <f>IF(COLUMN()-COLUMN($B$15)+1&lt;=Assumptions!$B$67,Assumptions!$B$32,IF(COLUMN()-COLUMN($B$15)+1&lt;=Assumptions!$B$68,Assumptions!$B$33,Assumptions!$B$34))</f>
        <v>2600000</v>
      </c>
      <c r="J15" s="51">
        <f>IF(COLUMN()-COLUMN($B$15)+1&lt;=Assumptions!$B$67,Assumptions!$B$32,IF(COLUMN()-COLUMN($B$15)+1&lt;=Assumptions!$B$68,Assumptions!$B$33,Assumptions!$B$34))</f>
        <v>2600000</v>
      </c>
      <c r="K15" s="51">
        <f>IF(COLUMN()-COLUMN($B$15)+1&lt;=Assumptions!$B$67,Assumptions!$B$32,IF(COLUMN()-COLUMN($B$15)+1&lt;=Assumptions!$B$68,Assumptions!$B$33,Assumptions!$B$34))</f>
        <v>2600000</v>
      </c>
      <c r="L15" s="51">
        <f>IF(COLUMN()-COLUMN($B$15)+1&lt;=Assumptions!$B$67,Assumptions!$B$32,IF(COLUMN()-COLUMN($B$15)+1&lt;=Assumptions!$B$68,Assumptions!$B$33,Assumptions!$B$34))</f>
        <v>2600000</v>
      </c>
      <c r="M15" s="51">
        <f>IF(COLUMN()-COLUMN($B$15)+1&lt;=Assumptions!$B$67,Assumptions!$B$32,IF(COLUMN()-COLUMN($B$15)+1&lt;=Assumptions!$B$68,Assumptions!$B$33,Assumptions!$B$34))</f>
        <v>2600000</v>
      </c>
      <c r="N15" s="51">
        <f>IF(COLUMN()-COLUMN($B$15)+1&lt;=Assumptions!$B$67,Assumptions!$B$32,IF(COLUMN()-COLUMN($B$15)+1&lt;=Assumptions!$B$68,Assumptions!$B$33,Assumptions!$B$34))</f>
        <v>3200000</v>
      </c>
      <c r="O15" s="51">
        <f>IF(COLUMN()-COLUMN($B$15)+1&lt;=Assumptions!$B$67,Assumptions!$B$32,IF(COLUMN()-COLUMN($B$15)+1&lt;=Assumptions!$B$68,Assumptions!$B$33,Assumptions!$B$34))</f>
        <v>3200000</v>
      </c>
      <c r="P15" s="51">
        <f>IF(COLUMN()-COLUMN($B$15)+1&lt;=Assumptions!$B$67,Assumptions!$B$32,IF(COLUMN()-COLUMN($B$15)+1&lt;=Assumptions!$B$68,Assumptions!$B$33,Assumptions!$B$34))</f>
        <v>3200000</v>
      </c>
      <c r="Q15" s="51">
        <f>IF(COLUMN()-COLUMN($B$15)+1&lt;=Assumptions!$B$67,Assumptions!$B$32,IF(COLUMN()-COLUMN($B$15)+1&lt;=Assumptions!$B$68,Assumptions!$B$33,Assumptions!$B$34))</f>
        <v>3200000</v>
      </c>
      <c r="R15" s="51">
        <f>IF(COLUMN()-COLUMN($B$15)+1&lt;=Assumptions!$B$67,Assumptions!$B$32,IF(COLUMN()-COLUMN($B$15)+1&lt;=Assumptions!$B$68,Assumptions!$B$33,Assumptions!$B$34))</f>
        <v>3200000</v>
      </c>
      <c r="S15" s="51">
        <f>IF(COLUMN()-COLUMN($B$15)+1&lt;=Assumptions!$B$67,Assumptions!$B$32,IF(COLUMN()-COLUMN($B$15)+1&lt;=Assumptions!$B$68,Assumptions!$B$33,Assumptions!$B$34))</f>
        <v>3200000</v>
      </c>
      <c r="T15" s="51">
        <f>IF(COLUMN()-COLUMN($B$15)+1&lt;=Assumptions!$B$67,Assumptions!$B$32,IF(COLUMN()-COLUMN($B$15)+1&lt;=Assumptions!$B$68,Assumptions!$B$33,Assumptions!$B$34))</f>
        <v>3200000</v>
      </c>
      <c r="U15" s="51">
        <f>IF(COLUMN()-COLUMN($B$15)+1&lt;=Assumptions!$B$67,Assumptions!$B$32,IF(COLUMN()-COLUMN($B$15)+1&lt;=Assumptions!$B$68,Assumptions!$B$33,Assumptions!$B$34))</f>
        <v>3200000</v>
      </c>
      <c r="V15" s="51">
        <f>IF(COLUMN()-COLUMN($B$15)+1&lt;=Assumptions!$B$67,Assumptions!$B$32,IF(COLUMN()-COLUMN($B$15)+1&lt;=Assumptions!$B$68,Assumptions!$B$33,Assumptions!$B$34))</f>
        <v>3200000</v>
      </c>
      <c r="W15" s="51">
        <f>IF(COLUMN()-COLUMN($B$15)+1&lt;=Assumptions!$B$67,Assumptions!$B$32,IF(COLUMN()-COLUMN($B$15)+1&lt;=Assumptions!$B$68,Assumptions!$B$33,Assumptions!$B$34))</f>
        <v>3200000</v>
      </c>
      <c r="X15" s="51">
        <f>IF(COLUMN()-COLUMN($B$15)+1&lt;=Assumptions!$B$67,Assumptions!$B$32,IF(COLUMN()-COLUMN($B$15)+1&lt;=Assumptions!$B$68,Assumptions!$B$33,Assumptions!$B$34))</f>
        <v>3200000</v>
      </c>
      <c r="Y15" s="51">
        <f>IF(COLUMN()-COLUMN($B$15)+1&lt;=Assumptions!$B$67,Assumptions!$B$32,IF(COLUMN()-COLUMN($B$15)+1&lt;=Assumptions!$B$68,Assumptions!$B$33,Assumptions!$B$34))</f>
        <v>3200000</v>
      </c>
      <c r="Z15" s="52">
        <f>SUM(B15:M15)</f>
        <v>27600000</v>
      </c>
      <c r="AA15" s="52">
        <f>SUM(N15:Y15)</f>
        <v>38400000</v>
      </c>
      <c r="AB15" s="35"/>
      <c r="AC15" s="35"/>
    </row>
    <row r="16" spans="1:29" ht="20" customHeight="1" x14ac:dyDescent="0.2">
      <c r="A16" s="35" t="s">
        <v>144</v>
      </c>
      <c r="B16" s="52">
        <f t="shared" ref="B16:Y16" si="0">B7*B8</f>
        <v>109500.39044859924</v>
      </c>
      <c r="C16" s="52">
        <f t="shared" si="0"/>
        <v>118391.82215302551</v>
      </c>
      <c r="D16" s="52">
        <f t="shared" si="0"/>
        <v>128005.2381118512</v>
      </c>
      <c r="E16" s="52">
        <f t="shared" si="0"/>
        <v>138399.2634465335</v>
      </c>
      <c r="F16" s="52">
        <f t="shared" si="0"/>
        <v>149637.28363839205</v>
      </c>
      <c r="G16" s="52">
        <f t="shared" si="0"/>
        <v>161787.83106982947</v>
      </c>
      <c r="H16" s="52">
        <f t="shared" si="0"/>
        <v>174925.00295269964</v>
      </c>
      <c r="I16" s="52">
        <f t="shared" si="0"/>
        <v>189128.9131924588</v>
      </c>
      <c r="J16" s="52">
        <f t="shared" si="0"/>
        <v>204486.18094368649</v>
      </c>
      <c r="K16" s="52">
        <f t="shared" si="0"/>
        <v>221090.45883631386</v>
      </c>
      <c r="L16" s="52">
        <f t="shared" si="0"/>
        <v>239043.00409382253</v>
      </c>
      <c r="M16" s="52">
        <f t="shared" si="0"/>
        <v>258453.29602624092</v>
      </c>
      <c r="N16" s="52">
        <f t="shared" si="0"/>
        <v>0</v>
      </c>
      <c r="O16" s="52">
        <f t="shared" si="0"/>
        <v>0</v>
      </c>
      <c r="P16" s="52">
        <f t="shared" si="0"/>
        <v>0</v>
      </c>
      <c r="Q16" s="52">
        <f t="shared" si="0"/>
        <v>0</v>
      </c>
      <c r="R16" s="52">
        <f t="shared" si="0"/>
        <v>0</v>
      </c>
      <c r="S16" s="52">
        <f t="shared" si="0"/>
        <v>0</v>
      </c>
      <c r="T16" s="52">
        <f t="shared" si="0"/>
        <v>0</v>
      </c>
      <c r="U16" s="52">
        <f t="shared" si="0"/>
        <v>0</v>
      </c>
      <c r="V16" s="52">
        <f t="shared" si="0"/>
        <v>0</v>
      </c>
      <c r="W16" s="52">
        <f t="shared" si="0"/>
        <v>0</v>
      </c>
      <c r="X16" s="52">
        <f t="shared" si="0"/>
        <v>0</v>
      </c>
      <c r="Y16" s="52">
        <f t="shared" si="0"/>
        <v>0</v>
      </c>
      <c r="Z16" s="52">
        <f>SUM(B16:M16)</f>
        <v>2092848.6849134532</v>
      </c>
      <c r="AA16" s="52">
        <f>SUM(N16:Y16)</f>
        <v>0</v>
      </c>
      <c r="AB16" s="35"/>
      <c r="AC16" s="35"/>
    </row>
    <row r="17" spans="1:29" ht="40" customHeight="1" x14ac:dyDescent="0.2">
      <c r="A17" s="35" t="s">
        <v>145</v>
      </c>
      <c r="B17" s="62">
        <f>IF(SUM($B$16:$M$16)=0,1,Assumptions!$B$37/SUM($B$16:$M$16))</f>
        <v>1</v>
      </c>
      <c r="C17" s="62">
        <f>IF(SUM($B$16:$M$16)=0,1,Assumptions!$B$37/SUM($B$16:$M$16))</f>
        <v>1</v>
      </c>
      <c r="D17" s="62">
        <f>IF(SUM($B$16:$M$16)=0,1,Assumptions!$B$37/SUM($B$16:$M$16))</f>
        <v>1</v>
      </c>
      <c r="E17" s="62">
        <f>IF(SUM($B$16:$M$16)=0,1,Assumptions!$B$37/SUM($B$16:$M$16))</f>
        <v>1</v>
      </c>
      <c r="F17" s="62">
        <f>IF(SUM($B$16:$M$16)=0,1,Assumptions!$B$37/SUM($B$16:$M$16))</f>
        <v>1</v>
      </c>
      <c r="G17" s="62">
        <f>IF(SUM($B$16:$M$16)=0,1,Assumptions!$B$37/SUM($B$16:$M$16))</f>
        <v>1</v>
      </c>
      <c r="H17" s="62">
        <f>IF(SUM($B$16:$M$16)=0,1,Assumptions!$B$37/SUM($B$16:$M$16))</f>
        <v>1</v>
      </c>
      <c r="I17" s="62">
        <f>IF(SUM($B$16:$M$16)=0,1,Assumptions!$B$37/SUM($B$16:$M$16))</f>
        <v>1</v>
      </c>
      <c r="J17" s="62">
        <f>IF(SUM($B$16:$M$16)=0,1,Assumptions!$B$37/SUM($B$16:$M$16))</f>
        <v>1</v>
      </c>
      <c r="K17" s="62">
        <f>IF(SUM($B$16:$M$16)=0,1,Assumptions!$B$37/SUM($B$16:$M$16))</f>
        <v>1</v>
      </c>
      <c r="L17" s="62">
        <f>IF(SUM($B$16:$M$16)=0,1,Assumptions!$B$37/SUM($B$16:$M$16))</f>
        <v>1</v>
      </c>
      <c r="M17" s="62">
        <f>IF(SUM($B$16:$M$16)=0,1,Assumptions!$B$37/SUM($B$16:$M$16))</f>
        <v>1</v>
      </c>
      <c r="N17" s="62">
        <f>IF(SUM($N$16:$Y$16)=0,1,Assumptions!$B$38/SUM($N$16:$Y$16))</f>
        <v>1</v>
      </c>
      <c r="O17" s="62">
        <f>IF(SUM($N$16:$Y$16)=0,1,Assumptions!$B$38/SUM($N$16:$Y$16))</f>
        <v>1</v>
      </c>
      <c r="P17" s="62">
        <f>IF(SUM($N$16:$Y$16)=0,1,Assumptions!$B$38/SUM($N$16:$Y$16))</f>
        <v>1</v>
      </c>
      <c r="Q17" s="62">
        <f>IF(SUM($N$16:$Y$16)=0,1,Assumptions!$B$38/SUM($N$16:$Y$16))</f>
        <v>1</v>
      </c>
      <c r="R17" s="62">
        <f>IF(SUM($N$16:$Y$16)=0,1,Assumptions!$B$38/SUM($N$16:$Y$16))</f>
        <v>1</v>
      </c>
      <c r="S17" s="62">
        <f>IF(SUM($N$16:$Y$16)=0,1,Assumptions!$B$38/SUM($N$16:$Y$16))</f>
        <v>1</v>
      </c>
      <c r="T17" s="62">
        <f>IF(SUM($N$16:$Y$16)=0,1,Assumptions!$B$38/SUM($N$16:$Y$16))</f>
        <v>1</v>
      </c>
      <c r="U17" s="62">
        <f>IF(SUM($N$16:$Y$16)=0,1,Assumptions!$B$38/SUM($N$16:$Y$16))</f>
        <v>1</v>
      </c>
      <c r="V17" s="62">
        <f>IF(SUM($N$16:$Y$16)=0,1,Assumptions!$B$38/SUM($N$16:$Y$16))</f>
        <v>1</v>
      </c>
      <c r="W17" s="62">
        <f>IF(SUM($N$16:$Y$16)=0,1,Assumptions!$B$38/SUM($N$16:$Y$16))</f>
        <v>1</v>
      </c>
      <c r="X17" s="62">
        <f>IF(SUM($N$16:$Y$16)=0,1,Assumptions!$B$38/SUM($N$16:$Y$16))</f>
        <v>1</v>
      </c>
      <c r="Y17" s="62">
        <f>IF(SUM($N$16:$Y$16)=0,1,Assumptions!$B$38/SUM($N$16:$Y$16))</f>
        <v>1</v>
      </c>
      <c r="Z17" s="62">
        <f>AVERAGE(B17:M17)</f>
        <v>1</v>
      </c>
      <c r="AA17" s="62">
        <f>AVERAGE(N17:Y17)</f>
        <v>1</v>
      </c>
      <c r="AB17" s="35"/>
      <c r="AC17" s="35"/>
    </row>
    <row r="18" spans="1:29" ht="20" customHeight="1" x14ac:dyDescent="0.2">
      <c r="A18" s="35" t="s">
        <v>146</v>
      </c>
      <c r="B18" s="52">
        <f>IF(SUM($B$16:$M$16)=0,Assumptions!$B$37/12,B16*B17)</f>
        <v>109500.39044859924</v>
      </c>
      <c r="C18" s="52">
        <f>IF(SUM($B$16:$M$16)=0,Assumptions!$B$37/12,C16*C17)</f>
        <v>118391.82215302551</v>
      </c>
      <c r="D18" s="52">
        <f>IF(SUM($B$16:$M$16)=0,Assumptions!$B$37/12,D16*D17)</f>
        <v>128005.2381118512</v>
      </c>
      <c r="E18" s="52">
        <f>IF(SUM($B$16:$M$16)=0,Assumptions!$B$37/12,E16*E17)</f>
        <v>138399.2634465335</v>
      </c>
      <c r="F18" s="52">
        <f>IF(SUM($B$16:$M$16)=0,Assumptions!$B$37/12,F16*F17)</f>
        <v>149637.28363839205</v>
      </c>
      <c r="G18" s="52">
        <f>IF(SUM($B$16:$M$16)=0,Assumptions!$B$37/12,G16*G17)</f>
        <v>161787.83106982947</v>
      </c>
      <c r="H18" s="52">
        <f>IF(SUM($B$16:$M$16)=0,Assumptions!$B$37/12,H16*H17)</f>
        <v>174925.00295269964</v>
      </c>
      <c r="I18" s="52">
        <f>IF(SUM($B$16:$M$16)=0,Assumptions!$B$37/12,I16*I17)</f>
        <v>189128.9131924588</v>
      </c>
      <c r="J18" s="52">
        <f>IF(SUM($B$16:$M$16)=0,Assumptions!$B$37/12,J16*J17)</f>
        <v>204486.18094368649</v>
      </c>
      <c r="K18" s="52">
        <f>IF(SUM($B$16:$M$16)=0,Assumptions!$B$37/12,K16*K17)</f>
        <v>221090.45883631386</v>
      </c>
      <c r="L18" s="52">
        <f>IF(SUM($B$16:$M$16)=0,Assumptions!$B$37/12,L16*L17)</f>
        <v>239043.00409382253</v>
      </c>
      <c r="M18" s="52">
        <f>IF(SUM($B$16:$M$16)=0,Assumptions!$B$37/12,M16*M17)</f>
        <v>258453.29602624092</v>
      </c>
      <c r="N18" s="52">
        <f>IF(SUM($N$16:$Y$16)=0,Assumptions!$B$38/12,N16*N17)</f>
        <v>3333333.3333333335</v>
      </c>
      <c r="O18" s="52">
        <f>IF(SUM($N$16:$Y$16)=0,Assumptions!$B$38/12,O16*O17)</f>
        <v>3333333.3333333335</v>
      </c>
      <c r="P18" s="52">
        <f>IF(SUM($N$16:$Y$16)=0,Assumptions!$B$38/12,P16*P17)</f>
        <v>3333333.3333333335</v>
      </c>
      <c r="Q18" s="52">
        <f>IF(SUM($N$16:$Y$16)=0,Assumptions!$B$38/12,Q16*Q17)</f>
        <v>3333333.3333333335</v>
      </c>
      <c r="R18" s="52">
        <f>IF(SUM($N$16:$Y$16)=0,Assumptions!$B$38/12,R16*R17)</f>
        <v>3333333.3333333335</v>
      </c>
      <c r="S18" s="52">
        <f>IF(SUM($N$16:$Y$16)=0,Assumptions!$B$38/12,S16*S17)</f>
        <v>3333333.3333333335</v>
      </c>
      <c r="T18" s="52">
        <f>IF(SUM($N$16:$Y$16)=0,Assumptions!$B$38/12,T16*T17)</f>
        <v>3333333.3333333335</v>
      </c>
      <c r="U18" s="52">
        <f>IF(SUM($N$16:$Y$16)=0,Assumptions!$B$38/12,U16*U17)</f>
        <v>3333333.3333333335</v>
      </c>
      <c r="V18" s="52">
        <f>IF(SUM($N$16:$Y$16)=0,Assumptions!$B$38/12,V16*V17)</f>
        <v>3333333.3333333335</v>
      </c>
      <c r="W18" s="52">
        <f>IF(SUM($N$16:$Y$16)=0,Assumptions!$B$38/12,W16*W17)</f>
        <v>3333333.3333333335</v>
      </c>
      <c r="X18" s="52">
        <f>IF(SUM($N$16:$Y$16)=0,Assumptions!$B$38/12,X16*X17)</f>
        <v>3333333.3333333335</v>
      </c>
      <c r="Y18" s="52">
        <f>IF(SUM($N$16:$Y$16)=0,Assumptions!$B$38/12,Y16*Y17)</f>
        <v>3333333.3333333335</v>
      </c>
      <c r="Z18" s="52">
        <f t="shared" ref="Z18:Z28" si="1">SUM(B18:M18)</f>
        <v>2092848.6849134532</v>
      </c>
      <c r="AA18" s="52">
        <f t="shared" ref="AA18:AA28" si="2">SUM(N18:Y18)</f>
        <v>40000000</v>
      </c>
      <c r="AB18" s="35"/>
      <c r="AC18" s="35"/>
    </row>
    <row r="19" spans="1:29" ht="20" customHeight="1" x14ac:dyDescent="0.2">
      <c r="A19" s="35" t="s">
        <v>147</v>
      </c>
      <c r="B19" s="52">
        <f>Assumptions!$B$41</f>
        <v>50</v>
      </c>
      <c r="C19" s="52">
        <f>Assumptions!$B$41</f>
        <v>50</v>
      </c>
      <c r="D19" s="52">
        <f>Assumptions!$B$41</f>
        <v>50</v>
      </c>
      <c r="E19" s="52">
        <f>Assumptions!$B$41</f>
        <v>50</v>
      </c>
      <c r="F19" s="52">
        <f>Assumptions!$B$41</f>
        <v>50</v>
      </c>
      <c r="G19" s="52">
        <f>Assumptions!$B$41</f>
        <v>50</v>
      </c>
      <c r="H19" s="52">
        <f>Assumptions!$B$41</f>
        <v>50</v>
      </c>
      <c r="I19" s="52">
        <f>Assumptions!$B$41</f>
        <v>50</v>
      </c>
      <c r="J19" s="52">
        <f>Assumptions!$B$41</f>
        <v>50</v>
      </c>
      <c r="K19" s="52">
        <f>Assumptions!$B$41</f>
        <v>50</v>
      </c>
      <c r="L19" s="52">
        <f>Assumptions!$B$41</f>
        <v>50</v>
      </c>
      <c r="M19" s="52">
        <f>Assumptions!$B$41</f>
        <v>50</v>
      </c>
      <c r="N19" s="52">
        <f>Assumptions!$B$41</f>
        <v>50</v>
      </c>
      <c r="O19" s="52">
        <f>Assumptions!$B$41</f>
        <v>50</v>
      </c>
      <c r="P19" s="52">
        <f>Assumptions!$B$41</f>
        <v>50</v>
      </c>
      <c r="Q19" s="52">
        <f>Assumptions!$B$41</f>
        <v>50</v>
      </c>
      <c r="R19" s="52">
        <f>Assumptions!$B$41</f>
        <v>50</v>
      </c>
      <c r="S19" s="52">
        <f>Assumptions!$B$41</f>
        <v>50</v>
      </c>
      <c r="T19" s="52">
        <f>Assumptions!$B$41</f>
        <v>50</v>
      </c>
      <c r="U19" s="52">
        <f>Assumptions!$B$41</f>
        <v>50</v>
      </c>
      <c r="V19" s="52">
        <f>Assumptions!$B$41</f>
        <v>50</v>
      </c>
      <c r="W19" s="52">
        <f>Assumptions!$B$41</f>
        <v>50</v>
      </c>
      <c r="X19" s="52">
        <f>Assumptions!$B$41</f>
        <v>50</v>
      </c>
      <c r="Y19" s="52">
        <f>Assumptions!$B$41</f>
        <v>50</v>
      </c>
      <c r="Z19" s="52">
        <f t="shared" si="1"/>
        <v>600</v>
      </c>
      <c r="AA19" s="52">
        <f t="shared" si="2"/>
        <v>600</v>
      </c>
      <c r="AB19" s="35"/>
      <c r="AC19" s="35"/>
    </row>
    <row r="20" spans="1:29" ht="20" customHeight="1" x14ac:dyDescent="0.2">
      <c r="A20" s="35" t="s">
        <v>148</v>
      </c>
      <c r="B20" s="52">
        <f t="shared" ref="B20:Y20" si="3">B10*B11</f>
        <v>50242.029278567177</v>
      </c>
      <c r="C20" s="52">
        <f t="shared" si="3"/>
        <v>99693.717971563019</v>
      </c>
      <c r="D20" s="52">
        <f t="shared" si="3"/>
        <v>148601.30963123607</v>
      </c>
      <c r="E20" s="52">
        <f t="shared" si="3"/>
        <v>197202.86555397912</v>
      </c>
      <c r="F20" s="52">
        <f t="shared" si="3"/>
        <v>245729.58358199731</v>
      </c>
      <c r="G20" s="52">
        <f t="shared" si="3"/>
        <v>294407.05259473925</v>
      </c>
      <c r="H20" s="52">
        <f t="shared" si="3"/>
        <v>343456.45023951365</v>
      </c>
      <c r="I20" s="52">
        <f t="shared" si="3"/>
        <v>393095.69099438639</v>
      </c>
      <c r="J20" s="52">
        <f t="shared" si="3"/>
        <v>443540.53124532342</v>
      </c>
      <c r="K20" s="52">
        <f t="shared" si="3"/>
        <v>495005.63769052632</v>
      </c>
      <c r="L20" s="52">
        <f t="shared" si="3"/>
        <v>547705.62505518878</v>
      </c>
      <c r="M20" s="52">
        <f t="shared" si="3"/>
        <v>601856.06880693883</v>
      </c>
      <c r="N20" s="52">
        <f t="shared" si="3"/>
        <v>654336.39529255498</v>
      </c>
      <c r="O20" s="52">
        <f t="shared" si="3"/>
        <v>705336.12455467286</v>
      </c>
      <c r="P20" s="52">
        <f t="shared" si="3"/>
        <v>755031.54466377629</v>
      </c>
      <c r="Q20" s="52">
        <f t="shared" si="3"/>
        <v>803586.79192351457</v>
      </c>
      <c r="R20" s="52">
        <f t="shared" si="3"/>
        <v>851154.84653044434</v>
      </c>
      <c r="S20" s="52">
        <f t="shared" si="3"/>
        <v>897878.45043213235</v>
      </c>
      <c r="T20" s="52">
        <f t="shared" si="3"/>
        <v>943890.95359086595</v>
      </c>
      <c r="U20" s="52">
        <f t="shared" si="3"/>
        <v>989317.09436638223</v>
      </c>
      <c r="V20" s="52">
        <f t="shared" si="3"/>
        <v>1034273.7192765933</v>
      </c>
      <c r="W20" s="52">
        <f t="shared" si="3"/>
        <v>1078870.4469771334</v>
      </c>
      <c r="X20" s="52">
        <f t="shared" si="3"/>
        <v>1123210.2809157721</v>
      </c>
      <c r="Y20" s="52">
        <f t="shared" si="3"/>
        <v>1167390.1747636611</v>
      </c>
      <c r="Z20" s="52">
        <f t="shared" si="1"/>
        <v>3860536.5626439597</v>
      </c>
      <c r="AA20" s="52">
        <f t="shared" si="2"/>
        <v>11004276.823287504</v>
      </c>
      <c r="AB20" s="35"/>
      <c r="AC20" s="35"/>
    </row>
    <row r="21" spans="1:29" ht="21" customHeight="1" x14ac:dyDescent="0.2">
      <c r="A21" s="63" t="s">
        <v>149</v>
      </c>
      <c r="B21" s="64">
        <f t="shared" ref="B21:Y21" si="4">SUM(B19:B20)</f>
        <v>50292.029278567177</v>
      </c>
      <c r="C21" s="64">
        <f t="shared" si="4"/>
        <v>99743.717971563019</v>
      </c>
      <c r="D21" s="64">
        <f t="shared" si="4"/>
        <v>148651.30963123607</v>
      </c>
      <c r="E21" s="64">
        <f t="shared" si="4"/>
        <v>197252.86555397912</v>
      </c>
      <c r="F21" s="64">
        <f t="shared" si="4"/>
        <v>245779.58358199731</v>
      </c>
      <c r="G21" s="64">
        <f t="shared" si="4"/>
        <v>294457.05259473925</v>
      </c>
      <c r="H21" s="64">
        <f t="shared" si="4"/>
        <v>343506.45023951365</v>
      </c>
      <c r="I21" s="64">
        <f t="shared" si="4"/>
        <v>393145.69099438639</v>
      </c>
      <c r="J21" s="64">
        <f t="shared" si="4"/>
        <v>443590.53124532342</v>
      </c>
      <c r="K21" s="64">
        <f t="shared" si="4"/>
        <v>495055.63769052632</v>
      </c>
      <c r="L21" s="64">
        <f t="shared" si="4"/>
        <v>547755.62505518878</v>
      </c>
      <c r="M21" s="64">
        <f t="shared" si="4"/>
        <v>601906.06880693883</v>
      </c>
      <c r="N21" s="64">
        <f t="shared" si="4"/>
        <v>654386.39529255498</v>
      </c>
      <c r="O21" s="64">
        <f t="shared" si="4"/>
        <v>705386.12455467286</v>
      </c>
      <c r="P21" s="64">
        <f t="shared" si="4"/>
        <v>755081.54466377629</v>
      </c>
      <c r="Q21" s="64">
        <f t="shared" si="4"/>
        <v>803636.79192351457</v>
      </c>
      <c r="R21" s="64">
        <f t="shared" si="4"/>
        <v>851204.84653044434</v>
      </c>
      <c r="S21" s="64">
        <f t="shared" si="4"/>
        <v>897928.45043213235</v>
      </c>
      <c r="T21" s="64">
        <f t="shared" si="4"/>
        <v>943940.95359086595</v>
      </c>
      <c r="U21" s="64">
        <f t="shared" si="4"/>
        <v>989367.09436638223</v>
      </c>
      <c r="V21" s="64">
        <f t="shared" si="4"/>
        <v>1034323.7192765933</v>
      </c>
      <c r="W21" s="64">
        <f t="shared" si="4"/>
        <v>1078920.4469771334</v>
      </c>
      <c r="X21" s="64">
        <f t="shared" si="4"/>
        <v>1123260.2809157721</v>
      </c>
      <c r="Y21" s="64">
        <f t="shared" si="4"/>
        <v>1167440.1747636611</v>
      </c>
      <c r="Z21" s="64">
        <f t="shared" si="1"/>
        <v>3861136.5626439597</v>
      </c>
      <c r="AA21" s="64">
        <f t="shared" si="2"/>
        <v>11004876.823287504</v>
      </c>
      <c r="AB21" s="35"/>
      <c r="AC21" s="35"/>
    </row>
    <row r="22" spans="1:29" ht="21" customHeight="1" x14ac:dyDescent="0.2">
      <c r="A22" s="35" t="s">
        <v>150</v>
      </c>
      <c r="B22" s="52">
        <f>Assumptions!$B$89*(1+Assumptions!$B$92)^INT((COLUMN()-COLUMN($B$22))/12)</f>
        <v>150000</v>
      </c>
      <c r="C22" s="52">
        <f>Assumptions!$B$89*(1+Assumptions!$B$92)^INT((COLUMN()-COLUMN($B$22))/12)</f>
        <v>150000</v>
      </c>
      <c r="D22" s="52">
        <f>Assumptions!$B$89*(1+Assumptions!$B$92)^INT((COLUMN()-COLUMN($B$22))/12)</f>
        <v>150000</v>
      </c>
      <c r="E22" s="52">
        <f>Assumptions!$B$89*(1+Assumptions!$B$92)^INT((COLUMN()-COLUMN($B$22))/12)</f>
        <v>150000</v>
      </c>
      <c r="F22" s="52">
        <f>Assumptions!$B$89*(1+Assumptions!$B$92)^INT((COLUMN()-COLUMN($B$22))/12)</f>
        <v>150000</v>
      </c>
      <c r="G22" s="52">
        <f>Assumptions!$B$89*(1+Assumptions!$B$92)^INT((COLUMN()-COLUMN($B$22))/12)</f>
        <v>150000</v>
      </c>
      <c r="H22" s="52">
        <f>Assumptions!$B$89*(1+Assumptions!$B$92)^INT((COLUMN()-COLUMN($B$22))/12)</f>
        <v>150000</v>
      </c>
      <c r="I22" s="52">
        <f>Assumptions!$B$89*(1+Assumptions!$B$92)^INT((COLUMN()-COLUMN($B$22))/12)</f>
        <v>150000</v>
      </c>
      <c r="J22" s="52">
        <f>Assumptions!$B$89*(1+Assumptions!$B$92)^INT((COLUMN()-COLUMN($B$22))/12)</f>
        <v>150000</v>
      </c>
      <c r="K22" s="52">
        <f>Assumptions!$B$89*(1+Assumptions!$B$92)^INT((COLUMN()-COLUMN($B$22))/12)</f>
        <v>150000</v>
      </c>
      <c r="L22" s="52">
        <f>Assumptions!$B$89*(1+Assumptions!$B$92)^INT((COLUMN()-COLUMN($B$22))/12)</f>
        <v>150000</v>
      </c>
      <c r="M22" s="52">
        <f>Assumptions!$B$89*(1+Assumptions!$B$92)^INT((COLUMN()-COLUMN($B$22))/12)</f>
        <v>150000</v>
      </c>
      <c r="N22" s="52">
        <f>Assumptions!$B$89*(1+Assumptions!$B$92)^INT((COLUMN()-COLUMN($B$22))/12)</f>
        <v>165000</v>
      </c>
      <c r="O22" s="52">
        <f>Assumptions!$B$89*(1+Assumptions!$B$92)^INT((COLUMN()-COLUMN($B$22))/12)</f>
        <v>165000</v>
      </c>
      <c r="P22" s="52">
        <f>Assumptions!$B$89*(1+Assumptions!$B$92)^INT((COLUMN()-COLUMN($B$22))/12)</f>
        <v>165000</v>
      </c>
      <c r="Q22" s="52">
        <f>Assumptions!$B$89*(1+Assumptions!$B$92)^INT((COLUMN()-COLUMN($B$22))/12)</f>
        <v>165000</v>
      </c>
      <c r="R22" s="52">
        <f>Assumptions!$B$89*(1+Assumptions!$B$92)^INT((COLUMN()-COLUMN($B$22))/12)</f>
        <v>165000</v>
      </c>
      <c r="S22" s="52">
        <f>Assumptions!$B$89*(1+Assumptions!$B$92)^INT((COLUMN()-COLUMN($B$22))/12)</f>
        <v>165000</v>
      </c>
      <c r="T22" s="52">
        <f>Assumptions!$B$89*(1+Assumptions!$B$92)^INT((COLUMN()-COLUMN($B$22))/12)</f>
        <v>165000</v>
      </c>
      <c r="U22" s="52">
        <f>Assumptions!$B$89*(1+Assumptions!$B$92)^INT((COLUMN()-COLUMN($B$22))/12)</f>
        <v>165000</v>
      </c>
      <c r="V22" s="52">
        <f>Assumptions!$B$89*(1+Assumptions!$B$92)^INT((COLUMN()-COLUMN($B$22))/12)</f>
        <v>165000</v>
      </c>
      <c r="W22" s="52">
        <f>Assumptions!$B$89*(1+Assumptions!$B$92)^INT((COLUMN()-COLUMN($B$22))/12)</f>
        <v>165000</v>
      </c>
      <c r="X22" s="52">
        <f>Assumptions!$B$89*(1+Assumptions!$B$92)^INT((COLUMN()-COLUMN($B$22))/12)</f>
        <v>165000</v>
      </c>
      <c r="Y22" s="52">
        <f>Assumptions!$B$89*(1+Assumptions!$B$92)^INT((COLUMN()-COLUMN($B$22))/12)</f>
        <v>165000</v>
      </c>
      <c r="Z22" s="52">
        <f t="shared" si="1"/>
        <v>1800000</v>
      </c>
      <c r="AA22" s="52">
        <f t="shared" si="2"/>
        <v>1980000</v>
      </c>
      <c r="AB22" s="35"/>
      <c r="AC22" s="35"/>
    </row>
    <row r="23" spans="1:29" ht="42" customHeight="1" x14ac:dyDescent="0.2">
      <c r="A23" s="35" t="s">
        <v>151</v>
      </c>
      <c r="B23" s="52">
        <f>B10*Assumptions!$B$90*(1+Assumptions!$B$92)^INT((COLUMN()-COLUMN($B$23))/12)</f>
        <v>15072.608783570155</v>
      </c>
      <c r="C23" s="52">
        <f>C10*Assumptions!$B$90*(1+Assumptions!$B$92)^INT((COLUMN()-COLUMN($B$23))/12)</f>
        <v>29908.115391468906</v>
      </c>
      <c r="D23" s="52">
        <f>D10*Assumptions!$B$90*(1+Assumptions!$B$92)^INT((COLUMN()-COLUMN($B$23))/12)</f>
        <v>44580.392889370822</v>
      </c>
      <c r="E23" s="52">
        <f>E10*Assumptions!$B$90*(1+Assumptions!$B$92)^INT((COLUMN()-COLUMN($B$23))/12)</f>
        <v>59160.859666193741</v>
      </c>
      <c r="F23" s="52">
        <f>F10*Assumptions!$B$90*(1+Assumptions!$B$92)^INT((COLUMN()-COLUMN($B$23))/12)</f>
        <v>73718.8750745992</v>
      </c>
      <c r="G23" s="52">
        <f>G10*Assumptions!$B$90*(1+Assumptions!$B$92)^INT((COLUMN()-COLUMN($B$23))/12)</f>
        <v>88322.115778421765</v>
      </c>
      <c r="H23" s="52">
        <f>H10*Assumptions!$B$90*(1+Assumptions!$B$92)^INT((COLUMN()-COLUMN($B$23))/12)</f>
        <v>103036.9350718541</v>
      </c>
      <c r="I23" s="52">
        <f>I10*Assumptions!$B$90*(1+Assumptions!$B$92)^INT((COLUMN()-COLUMN($B$23))/12)</f>
        <v>117928.70729831592</v>
      </c>
      <c r="J23" s="52">
        <f>J10*Assumptions!$B$90*(1+Assumptions!$B$92)^INT((COLUMN()-COLUMN($B$23))/12)</f>
        <v>133062.15937359704</v>
      </c>
      <c r="K23" s="52">
        <f>K10*Assumptions!$B$90*(1+Assumptions!$B$92)^INT((COLUMN()-COLUMN($B$23))/12)</f>
        <v>148501.69130715792</v>
      </c>
      <c r="L23" s="52">
        <f>L10*Assumptions!$B$90*(1+Assumptions!$B$92)^INT((COLUMN()-COLUMN($B$23))/12)</f>
        <v>164311.68751655662</v>
      </c>
      <c r="M23" s="52">
        <f>M10*Assumptions!$B$90*(1+Assumptions!$B$92)^INT((COLUMN()-COLUMN($B$23))/12)</f>
        <v>180556.82064208167</v>
      </c>
      <c r="N23" s="52">
        <f>N10*Assumptions!$B$90*(1+Assumptions!$B$92)^INT((COLUMN()-COLUMN($B$23))/12)</f>
        <v>215931.01044654317</v>
      </c>
      <c r="O23" s="52">
        <f>O10*Assumptions!$B$90*(1+Assumptions!$B$92)^INT((COLUMN()-COLUMN($B$23))/12)</f>
        <v>232760.92110304206</v>
      </c>
      <c r="P23" s="52">
        <f>P10*Assumptions!$B$90*(1+Assumptions!$B$92)^INT((COLUMN()-COLUMN($B$23))/12)</f>
        <v>249160.40973904618</v>
      </c>
      <c r="Q23" s="52">
        <f>Q10*Assumptions!$B$90*(1+Assumptions!$B$92)^INT((COLUMN()-COLUMN($B$23))/12)</f>
        <v>265183.64133475983</v>
      </c>
      <c r="R23" s="52">
        <f>R10*Assumptions!$B$90*(1+Assumptions!$B$92)^INT((COLUMN()-COLUMN($B$23))/12)</f>
        <v>280881.09935504664</v>
      </c>
      <c r="S23" s="52">
        <f>S10*Assumptions!$B$90*(1+Assumptions!$B$92)^INT((COLUMN()-COLUMN($B$23))/12)</f>
        <v>296299.88864260371</v>
      </c>
      <c r="T23" s="52">
        <f>T10*Assumptions!$B$90*(1+Assumptions!$B$92)^INT((COLUMN()-COLUMN($B$23))/12)</f>
        <v>311484.0146849858</v>
      </c>
      <c r="U23" s="52">
        <f>U10*Assumptions!$B$90*(1+Assumptions!$B$92)^INT((COLUMN()-COLUMN($B$23))/12)</f>
        <v>326474.64114090614</v>
      </c>
      <c r="V23" s="52">
        <f>V10*Assumptions!$B$90*(1+Assumptions!$B$92)^INT((COLUMN()-COLUMN($B$23))/12)</f>
        <v>341310.32736127585</v>
      </c>
      <c r="W23" s="52">
        <f>W10*Assumptions!$B$90*(1+Assumptions!$B$92)^INT((COLUMN()-COLUMN($B$23))/12)</f>
        <v>356027.24750245403</v>
      </c>
      <c r="X23" s="52">
        <f>X10*Assumptions!$B$90*(1+Assumptions!$B$92)^INT((COLUMN()-COLUMN($B$23))/12)</f>
        <v>370659.39270220476</v>
      </c>
      <c r="Y23" s="52">
        <f>Y10*Assumptions!$B$90*(1+Assumptions!$B$92)^INT((COLUMN()-COLUMN($B$23))/12)</f>
        <v>385238.75767200819</v>
      </c>
      <c r="Z23" s="52">
        <f t="shared" si="1"/>
        <v>1158160.9687931878</v>
      </c>
      <c r="AA23" s="52">
        <f t="shared" si="2"/>
        <v>3631411.3516848763</v>
      </c>
      <c r="AB23" s="35"/>
      <c r="AC23" s="35"/>
    </row>
    <row r="24" spans="1:29" ht="20" customHeight="1" x14ac:dyDescent="0.2">
      <c r="A24" s="63" t="s">
        <v>152</v>
      </c>
      <c r="B24" s="64">
        <f t="shared" ref="B24:Y24" si="5">SUM(B22:B23)</f>
        <v>165072.60878357015</v>
      </c>
      <c r="C24" s="64">
        <f t="shared" si="5"/>
        <v>179908.11539146892</v>
      </c>
      <c r="D24" s="64">
        <f t="shared" si="5"/>
        <v>194580.39288937082</v>
      </c>
      <c r="E24" s="64">
        <f t="shared" si="5"/>
        <v>209160.85966619375</v>
      </c>
      <c r="F24" s="64">
        <f t="shared" si="5"/>
        <v>223718.8750745992</v>
      </c>
      <c r="G24" s="64">
        <f t="shared" si="5"/>
        <v>238322.11577842175</v>
      </c>
      <c r="H24" s="64">
        <f t="shared" si="5"/>
        <v>253036.9350718541</v>
      </c>
      <c r="I24" s="64">
        <f t="shared" si="5"/>
        <v>267928.70729831595</v>
      </c>
      <c r="J24" s="64">
        <f t="shared" si="5"/>
        <v>283062.15937359701</v>
      </c>
      <c r="K24" s="64">
        <f t="shared" si="5"/>
        <v>298501.69130715792</v>
      </c>
      <c r="L24" s="64">
        <f t="shared" si="5"/>
        <v>314311.68751655659</v>
      </c>
      <c r="M24" s="64">
        <f t="shared" si="5"/>
        <v>330556.82064208167</v>
      </c>
      <c r="N24" s="64">
        <f t="shared" si="5"/>
        <v>380931.01044654317</v>
      </c>
      <c r="O24" s="64">
        <f t="shared" si="5"/>
        <v>397760.92110304208</v>
      </c>
      <c r="P24" s="64">
        <f t="shared" si="5"/>
        <v>414160.40973904618</v>
      </c>
      <c r="Q24" s="64">
        <f t="shared" si="5"/>
        <v>430183.64133475983</v>
      </c>
      <c r="R24" s="64">
        <f t="shared" si="5"/>
        <v>445881.09935504664</v>
      </c>
      <c r="S24" s="64">
        <f t="shared" si="5"/>
        <v>461299.88864260371</v>
      </c>
      <c r="T24" s="64">
        <f t="shared" si="5"/>
        <v>476484.0146849858</v>
      </c>
      <c r="U24" s="64">
        <f t="shared" si="5"/>
        <v>491474.64114090614</v>
      </c>
      <c r="V24" s="64">
        <f t="shared" si="5"/>
        <v>506310.32736127585</v>
      </c>
      <c r="W24" s="64">
        <f t="shared" si="5"/>
        <v>521027.24750245403</v>
      </c>
      <c r="X24" s="64">
        <f t="shared" si="5"/>
        <v>535659.39270220476</v>
      </c>
      <c r="Y24" s="64">
        <f t="shared" si="5"/>
        <v>550238.75767200813</v>
      </c>
      <c r="Z24" s="64">
        <f t="shared" si="1"/>
        <v>2958160.9687931878</v>
      </c>
      <c r="AA24" s="64">
        <f t="shared" si="2"/>
        <v>5611411.3516848767</v>
      </c>
      <c r="AB24" s="35"/>
      <c r="AC24" s="35"/>
    </row>
    <row r="25" spans="1:29" ht="21" customHeight="1" x14ac:dyDescent="0.2">
      <c r="A25" s="35" t="s">
        <v>153</v>
      </c>
      <c r="B25" s="52">
        <f>Assumptions!$B$93</f>
        <v>0</v>
      </c>
      <c r="C25" s="52">
        <f>Assumptions!$B$93</f>
        <v>0</v>
      </c>
      <c r="D25" s="52">
        <f>Assumptions!$B$93</f>
        <v>0</v>
      </c>
      <c r="E25" s="52">
        <f>Assumptions!$B$93</f>
        <v>0</v>
      </c>
      <c r="F25" s="52">
        <f>Assumptions!$B$93</f>
        <v>0</v>
      </c>
      <c r="G25" s="52">
        <f>Assumptions!$B$93</f>
        <v>0</v>
      </c>
      <c r="H25" s="52">
        <f>Assumptions!$B$93</f>
        <v>0</v>
      </c>
      <c r="I25" s="52">
        <f>Assumptions!$B$93</f>
        <v>0</v>
      </c>
      <c r="J25" s="52">
        <f>Assumptions!$B$93</f>
        <v>0</v>
      </c>
      <c r="K25" s="52">
        <f>Assumptions!$B$93</f>
        <v>0</v>
      </c>
      <c r="L25" s="52">
        <f>Assumptions!$B$93</f>
        <v>0</v>
      </c>
      <c r="M25" s="52">
        <f>Assumptions!$B$93</f>
        <v>0</v>
      </c>
      <c r="N25" s="52">
        <f>Assumptions!$B$93</f>
        <v>0</v>
      </c>
      <c r="O25" s="52">
        <f>Assumptions!$B$93</f>
        <v>0</v>
      </c>
      <c r="P25" s="52">
        <f>Assumptions!$B$93</f>
        <v>0</v>
      </c>
      <c r="Q25" s="52">
        <f>Assumptions!$B$93</f>
        <v>0</v>
      </c>
      <c r="R25" s="52">
        <f>Assumptions!$B$93</f>
        <v>0</v>
      </c>
      <c r="S25" s="52">
        <f>Assumptions!$B$93</f>
        <v>0</v>
      </c>
      <c r="T25" s="52">
        <f>Assumptions!$B$93</f>
        <v>0</v>
      </c>
      <c r="U25" s="52">
        <f>Assumptions!$B$93</f>
        <v>0</v>
      </c>
      <c r="V25" s="52">
        <f>Assumptions!$B$93</f>
        <v>0</v>
      </c>
      <c r="W25" s="52">
        <f>Assumptions!$B$93</f>
        <v>0</v>
      </c>
      <c r="X25" s="52">
        <f>Assumptions!$B$93</f>
        <v>0</v>
      </c>
      <c r="Y25" s="52">
        <f>Assumptions!$B$93</f>
        <v>0</v>
      </c>
      <c r="Z25" s="52">
        <f t="shared" si="1"/>
        <v>0</v>
      </c>
      <c r="AA25" s="52">
        <f t="shared" si="2"/>
        <v>0</v>
      </c>
      <c r="AB25" s="35"/>
      <c r="AC25" s="35"/>
    </row>
    <row r="26" spans="1:29" ht="21" customHeight="1" x14ac:dyDescent="0.2">
      <c r="A26" s="35" t="s">
        <v>154</v>
      </c>
      <c r="B26" s="51">
        <f>IF(COLUMN()-COLUMN($B$26)+1=Assumptions!$B$74,Assumptions!$B$91,0)</f>
        <v>2000000</v>
      </c>
      <c r="C26" s="51">
        <f>IF(COLUMN()-COLUMN($B$26)+1=Assumptions!$B$74,Assumptions!$B$91,0)</f>
        <v>0</v>
      </c>
      <c r="D26" s="51">
        <f>IF(COLUMN()-COLUMN($B$26)+1=Assumptions!$B$74,Assumptions!$B$91,0)</f>
        <v>0</v>
      </c>
      <c r="E26" s="51">
        <f>IF(COLUMN()-COLUMN($B$26)+1=Assumptions!$B$74,Assumptions!$B$91,0)</f>
        <v>0</v>
      </c>
      <c r="F26" s="51">
        <f>IF(COLUMN()-COLUMN($B$26)+1=Assumptions!$B$74,Assumptions!$B$91,0)</f>
        <v>0</v>
      </c>
      <c r="G26" s="51">
        <f>IF(COLUMN()-COLUMN($B$26)+1=Assumptions!$B$74,Assumptions!$B$91,0)</f>
        <v>0</v>
      </c>
      <c r="H26" s="51">
        <f>IF(COLUMN()-COLUMN($B$26)+1=Assumptions!$B$74,Assumptions!$B$91,0)</f>
        <v>0</v>
      </c>
      <c r="I26" s="51">
        <f>IF(COLUMN()-COLUMN($B$26)+1=Assumptions!$B$74,Assumptions!$B$91,0)</f>
        <v>0</v>
      </c>
      <c r="J26" s="51">
        <f>IF(COLUMN()-COLUMN($B$26)+1=Assumptions!$B$74,Assumptions!$B$91,0)</f>
        <v>0</v>
      </c>
      <c r="K26" s="51">
        <f>IF(COLUMN()-COLUMN($B$26)+1=Assumptions!$B$74,Assumptions!$B$91,0)</f>
        <v>0</v>
      </c>
      <c r="L26" s="51">
        <f>IF(COLUMN()-COLUMN($B$26)+1=Assumptions!$B$74,Assumptions!$B$91,0)</f>
        <v>0</v>
      </c>
      <c r="M26" s="51">
        <f>IF(COLUMN()-COLUMN($B$26)+1=Assumptions!$B$74,Assumptions!$B$91,0)</f>
        <v>0</v>
      </c>
      <c r="N26" s="51">
        <f>IF(COLUMN()-COLUMN($B$26)+1=Assumptions!$B$74,Assumptions!$B$91,0)</f>
        <v>0</v>
      </c>
      <c r="O26" s="51">
        <f>IF(COLUMN()-COLUMN($B$26)+1=Assumptions!$B$74,Assumptions!$B$91,0)</f>
        <v>0</v>
      </c>
      <c r="P26" s="51">
        <f>IF(COLUMN()-COLUMN($B$26)+1=Assumptions!$B$74,Assumptions!$B$91,0)</f>
        <v>0</v>
      </c>
      <c r="Q26" s="51">
        <f>IF(COLUMN()-COLUMN($B$26)+1=Assumptions!$B$74,Assumptions!$B$91,0)</f>
        <v>0</v>
      </c>
      <c r="R26" s="51">
        <f>IF(COLUMN()-COLUMN($B$26)+1=Assumptions!$B$74,Assumptions!$B$91,0)</f>
        <v>0</v>
      </c>
      <c r="S26" s="51">
        <f>IF(COLUMN()-COLUMN($B$26)+1=Assumptions!$B$74,Assumptions!$B$91,0)</f>
        <v>0</v>
      </c>
      <c r="T26" s="51">
        <f>IF(COLUMN()-COLUMN($B$26)+1=Assumptions!$B$74,Assumptions!$B$91,0)</f>
        <v>0</v>
      </c>
      <c r="U26" s="51">
        <f>IF(COLUMN()-COLUMN($B$26)+1=Assumptions!$B$74,Assumptions!$B$91,0)</f>
        <v>0</v>
      </c>
      <c r="V26" s="51">
        <f>IF(COLUMN()-COLUMN($B$26)+1=Assumptions!$B$74,Assumptions!$B$91,0)</f>
        <v>0</v>
      </c>
      <c r="W26" s="51">
        <f>IF(COLUMN()-COLUMN($B$26)+1=Assumptions!$B$74,Assumptions!$B$91,0)</f>
        <v>0</v>
      </c>
      <c r="X26" s="51">
        <f>IF(COLUMN()-COLUMN($B$26)+1=Assumptions!$B$74,Assumptions!$B$91,0)</f>
        <v>0</v>
      </c>
      <c r="Y26" s="51">
        <f>IF(COLUMN()-COLUMN($B$26)+1=Assumptions!$B$74,Assumptions!$B$91,0)</f>
        <v>0</v>
      </c>
      <c r="Z26" s="52">
        <f t="shared" si="1"/>
        <v>2000000</v>
      </c>
      <c r="AA26" s="52">
        <f t="shared" si="2"/>
        <v>0</v>
      </c>
      <c r="AB26" s="35"/>
      <c r="AC26" s="35"/>
    </row>
    <row r="27" spans="1:29" ht="21" customHeight="1" x14ac:dyDescent="0.2">
      <c r="A27" s="53" t="s">
        <v>155</v>
      </c>
      <c r="B27" s="54">
        <f t="shared" ref="B27:Y27" si="6">SUM(B15,B18,B21,B24,B25)</f>
        <v>2324865.0285107363</v>
      </c>
      <c r="C27" s="54">
        <f t="shared" si="6"/>
        <v>2398043.6555160573</v>
      </c>
      <c r="D27" s="54">
        <f t="shared" si="6"/>
        <v>2471236.9406324578</v>
      </c>
      <c r="E27" s="54">
        <f t="shared" si="6"/>
        <v>2544812.9886667067</v>
      </c>
      <c r="F27" s="54">
        <f t="shared" si="6"/>
        <v>2619135.7422949891</v>
      </c>
      <c r="G27" s="54">
        <f t="shared" si="6"/>
        <v>2694566.9994429909</v>
      </c>
      <c r="H27" s="54">
        <f t="shared" si="6"/>
        <v>3371468.388264067</v>
      </c>
      <c r="I27" s="54">
        <f t="shared" si="6"/>
        <v>3450203.3114851615</v>
      </c>
      <c r="J27" s="54">
        <f t="shared" si="6"/>
        <v>3531138.8715626067</v>
      </c>
      <c r="K27" s="54">
        <f t="shared" si="6"/>
        <v>3614647.787833998</v>
      </c>
      <c r="L27" s="54">
        <f t="shared" si="6"/>
        <v>3701110.3166655679</v>
      </c>
      <c r="M27" s="54">
        <f t="shared" si="6"/>
        <v>3790916.1854752614</v>
      </c>
      <c r="N27" s="54">
        <f t="shared" si="6"/>
        <v>7568650.7390724318</v>
      </c>
      <c r="O27" s="54">
        <f t="shared" si="6"/>
        <v>7636480.3789910488</v>
      </c>
      <c r="P27" s="54">
        <f t="shared" si="6"/>
        <v>7702575.287736157</v>
      </c>
      <c r="Q27" s="54">
        <f t="shared" si="6"/>
        <v>7767153.7665916085</v>
      </c>
      <c r="R27" s="54">
        <f t="shared" si="6"/>
        <v>7830419.2792188246</v>
      </c>
      <c r="S27" s="54">
        <f t="shared" si="6"/>
        <v>7892561.6724080695</v>
      </c>
      <c r="T27" s="54">
        <f t="shared" si="6"/>
        <v>7953758.3016091855</v>
      </c>
      <c r="U27" s="54">
        <f t="shared" si="6"/>
        <v>8014175.068840622</v>
      </c>
      <c r="V27" s="54">
        <f t="shared" si="6"/>
        <v>8073967.3799712025</v>
      </c>
      <c r="W27" s="54">
        <f t="shared" si="6"/>
        <v>8133281.0278129205</v>
      </c>
      <c r="X27" s="54">
        <f t="shared" si="6"/>
        <v>8192253.0069513116</v>
      </c>
      <c r="Y27" s="54">
        <f t="shared" si="6"/>
        <v>8251012.265769003</v>
      </c>
      <c r="Z27" s="54">
        <f t="shared" si="1"/>
        <v>36512146.2163506</v>
      </c>
      <c r="AA27" s="54">
        <f t="shared" si="2"/>
        <v>95016288.1749724</v>
      </c>
      <c r="AB27" s="35"/>
      <c r="AC27" s="35"/>
    </row>
    <row r="28" spans="1:29" ht="42" customHeight="1" x14ac:dyDescent="0.2">
      <c r="A28" s="65" t="s">
        <v>156</v>
      </c>
      <c r="B28" s="66">
        <f t="shared" ref="B28:Y28" si="7">SUM(B14,B26,B27)</f>
        <v>10324865.028510736</v>
      </c>
      <c r="C28" s="66">
        <f t="shared" si="7"/>
        <v>2398043.6555160573</v>
      </c>
      <c r="D28" s="66">
        <f t="shared" si="7"/>
        <v>2471236.9406324578</v>
      </c>
      <c r="E28" s="66">
        <f t="shared" si="7"/>
        <v>2544812.9886667067</v>
      </c>
      <c r="F28" s="66">
        <f t="shared" si="7"/>
        <v>2619135.7422949891</v>
      </c>
      <c r="G28" s="66">
        <f t="shared" si="7"/>
        <v>2694566.9994429909</v>
      </c>
      <c r="H28" s="66">
        <f t="shared" si="7"/>
        <v>3371468.388264067</v>
      </c>
      <c r="I28" s="66">
        <f t="shared" si="7"/>
        <v>3450203.3114851615</v>
      </c>
      <c r="J28" s="66">
        <f t="shared" si="7"/>
        <v>3531138.8715626067</v>
      </c>
      <c r="K28" s="66">
        <f t="shared" si="7"/>
        <v>3614647.787833998</v>
      </c>
      <c r="L28" s="66">
        <f t="shared" si="7"/>
        <v>3701110.3166655679</v>
      </c>
      <c r="M28" s="66">
        <f t="shared" si="7"/>
        <v>3790916.1854752614</v>
      </c>
      <c r="N28" s="66">
        <f t="shared" si="7"/>
        <v>7568650.7390724318</v>
      </c>
      <c r="O28" s="66">
        <f t="shared" si="7"/>
        <v>7636480.3789910488</v>
      </c>
      <c r="P28" s="66">
        <f t="shared" si="7"/>
        <v>7702575.287736157</v>
      </c>
      <c r="Q28" s="66">
        <f t="shared" si="7"/>
        <v>7767153.7665916085</v>
      </c>
      <c r="R28" s="66">
        <f t="shared" si="7"/>
        <v>7830419.2792188246</v>
      </c>
      <c r="S28" s="66">
        <f t="shared" si="7"/>
        <v>7892561.6724080695</v>
      </c>
      <c r="T28" s="66">
        <f t="shared" si="7"/>
        <v>7953758.3016091855</v>
      </c>
      <c r="U28" s="66">
        <f t="shared" si="7"/>
        <v>8014175.068840622</v>
      </c>
      <c r="V28" s="66">
        <f t="shared" si="7"/>
        <v>8073967.3799712025</v>
      </c>
      <c r="W28" s="66">
        <f t="shared" si="7"/>
        <v>8133281.0278129205</v>
      </c>
      <c r="X28" s="66">
        <f t="shared" si="7"/>
        <v>8192253.0069513116</v>
      </c>
      <c r="Y28" s="66">
        <f t="shared" si="7"/>
        <v>8251012.265769003</v>
      </c>
      <c r="Z28" s="67">
        <f t="shared" si="1"/>
        <v>44512146.2163506</v>
      </c>
      <c r="AA28" s="67">
        <f t="shared" si="2"/>
        <v>95016288.1749724</v>
      </c>
      <c r="AB28" s="35"/>
      <c r="AC28" s="35"/>
    </row>
    <row r="29" spans="1:29" ht="21" customHeight="1" x14ac:dyDescent="0.2">
      <c r="A29" s="41" t="s">
        <v>157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2"/>
      <c r="AC29" s="42"/>
    </row>
    <row r="30" spans="1:29" ht="18" customHeight="1" x14ac:dyDescent="0.2">
      <c r="A30" s="57" t="s">
        <v>158</v>
      </c>
      <c r="B30" s="68">
        <f t="shared" ref="B30:AA30" si="8">IFERROR(B18/B27,0)</f>
        <v>4.7099676370779719E-2</v>
      </c>
      <c r="C30" s="68">
        <f t="shared" si="8"/>
        <v>4.9370169671722544E-2</v>
      </c>
      <c r="D30" s="68">
        <f t="shared" si="8"/>
        <v>5.1798043322827281E-2</v>
      </c>
      <c r="E30" s="68">
        <f t="shared" si="8"/>
        <v>5.4384846376882276E-2</v>
      </c>
      <c r="F30" s="68">
        <f t="shared" si="8"/>
        <v>5.713231323676031E-2</v>
      </c>
      <c r="G30" s="68">
        <f t="shared" si="8"/>
        <v>6.0042237251207164E-2</v>
      </c>
      <c r="H30" s="68">
        <f t="shared" si="8"/>
        <v>5.188392202092295E-2</v>
      </c>
      <c r="I30" s="68">
        <f t="shared" si="8"/>
        <v>5.4816744440213026E-2</v>
      </c>
      <c r="J30" s="68">
        <f t="shared" si="8"/>
        <v>5.790941347293907E-2</v>
      </c>
      <c r="K30" s="68">
        <f t="shared" si="8"/>
        <v>6.1165145766193085E-2</v>
      </c>
      <c r="L30" s="68">
        <f t="shared" si="8"/>
        <v>6.4586835744248478E-2</v>
      </c>
      <c r="M30" s="68">
        <f t="shared" si="8"/>
        <v>6.8177000857073553E-2</v>
      </c>
      <c r="N30" s="68">
        <f t="shared" si="8"/>
        <v>0.44041315265418718</v>
      </c>
      <c r="O30" s="68">
        <f t="shared" si="8"/>
        <v>0.43650126339665157</v>
      </c>
      <c r="P30" s="68">
        <f t="shared" si="8"/>
        <v>0.43275569647992684</v>
      </c>
      <c r="Q30" s="68">
        <f t="shared" si="8"/>
        <v>0.42915763399339407</v>
      </c>
      <c r="R30" s="68">
        <f t="shared" si="8"/>
        <v>0.42569027461654291</v>
      </c>
      <c r="S30" s="68">
        <f t="shared" si="8"/>
        <v>0.4223385855807083</v>
      </c>
      <c r="T30" s="68">
        <f t="shared" si="8"/>
        <v>0.41908909058236549</v>
      </c>
      <c r="U30" s="68">
        <f t="shared" si="8"/>
        <v>0.41592968767221516</v>
      </c>
      <c r="V30" s="68">
        <f t="shared" si="8"/>
        <v>0.41284949225856576</v>
      </c>
      <c r="W30" s="68">
        <f t="shared" si="8"/>
        <v>0.40983870124916649</v>
      </c>
      <c r="X30" s="68">
        <f t="shared" si="8"/>
        <v>0.40688847506356612</v>
      </c>
      <c r="Y30" s="68">
        <f t="shared" si="8"/>
        <v>0.40399083481700088</v>
      </c>
      <c r="Z30" s="68">
        <f t="shared" si="8"/>
        <v>5.7319245834314969E-2</v>
      </c>
      <c r="AA30" s="68">
        <f t="shared" si="8"/>
        <v>0.42098045259713829</v>
      </c>
      <c r="AB30" s="35"/>
      <c r="AC30" s="35"/>
    </row>
    <row r="31" spans="1:29" ht="18" customHeight="1" x14ac:dyDescent="0.2">
      <c r="A31" s="57" t="s">
        <v>159</v>
      </c>
      <c r="B31" s="68">
        <f t="shared" ref="B31:AA31" si="9">IFERROR(B15/B27,0)</f>
        <v>0.86026499408490886</v>
      </c>
      <c r="C31" s="68">
        <f t="shared" si="9"/>
        <v>0.83401317378002504</v>
      </c>
      <c r="D31" s="68">
        <f t="shared" si="9"/>
        <v>0.80931130767580084</v>
      </c>
      <c r="E31" s="68">
        <f t="shared" si="9"/>
        <v>0.78591236719828739</v>
      </c>
      <c r="F31" s="68">
        <f t="shared" si="9"/>
        <v>0.76361067038378161</v>
      </c>
      <c r="G31" s="68">
        <f t="shared" si="9"/>
        <v>0.74223428120860657</v>
      </c>
      <c r="H31" s="68">
        <f t="shared" si="9"/>
        <v>0.77117733301326075</v>
      </c>
      <c r="I31" s="68">
        <f t="shared" si="9"/>
        <v>0.75357877935628492</v>
      </c>
      <c r="J31" s="68">
        <f t="shared" si="9"/>
        <v>0.73630635740175321</v>
      </c>
      <c r="K31" s="68">
        <f t="shared" si="9"/>
        <v>0.71929553101991039</v>
      </c>
      <c r="L31" s="68">
        <f t="shared" si="9"/>
        <v>0.70249189501122777</v>
      </c>
      <c r="M31" s="68">
        <f t="shared" si="9"/>
        <v>0.68585003539824818</v>
      </c>
      <c r="N31" s="68">
        <f t="shared" si="9"/>
        <v>0.42279662654801969</v>
      </c>
      <c r="O31" s="68">
        <f t="shared" si="9"/>
        <v>0.41904121286078549</v>
      </c>
      <c r="P31" s="68">
        <f t="shared" si="9"/>
        <v>0.41544546862072973</v>
      </c>
      <c r="Q31" s="68">
        <f t="shared" si="9"/>
        <v>0.41199132863365828</v>
      </c>
      <c r="R31" s="68">
        <f t="shared" si="9"/>
        <v>0.4086626636318812</v>
      </c>
      <c r="S31" s="68">
        <f t="shared" si="9"/>
        <v>0.40544504215747995</v>
      </c>
      <c r="T31" s="68">
        <f t="shared" si="9"/>
        <v>0.40232552695907087</v>
      </c>
      <c r="U31" s="68">
        <f t="shared" si="9"/>
        <v>0.39929250016532658</v>
      </c>
      <c r="V31" s="68">
        <f t="shared" si="9"/>
        <v>0.39633551256822314</v>
      </c>
      <c r="W31" s="68">
        <f t="shared" si="9"/>
        <v>0.39344515319919982</v>
      </c>
      <c r="X31" s="68">
        <f t="shared" si="9"/>
        <v>0.39061293606102349</v>
      </c>
      <c r="Y31" s="68">
        <f t="shared" si="9"/>
        <v>0.38783120142432082</v>
      </c>
      <c r="Z31" s="68">
        <f t="shared" si="9"/>
        <v>0.75591283614109683</v>
      </c>
      <c r="AA31" s="68">
        <f t="shared" si="9"/>
        <v>0.40414123449325273</v>
      </c>
      <c r="AB31" s="35"/>
      <c r="AC31" s="35"/>
    </row>
    <row r="32" spans="1:29" ht="18" customHeight="1" x14ac:dyDescent="0.2">
      <c r="A32" s="57" t="s">
        <v>160</v>
      </c>
      <c r="B32" s="68">
        <f t="shared" ref="B32:AA32" si="10">IFERROR(B21/B27,0)</f>
        <v>2.1632236134922326E-2</v>
      </c>
      <c r="C32" s="68">
        <f t="shared" si="10"/>
        <v>4.15937873950415E-2</v>
      </c>
      <c r="D32" s="68">
        <f t="shared" si="10"/>
        <v>6.0152592892688019E-2</v>
      </c>
      <c r="E32" s="68">
        <f t="shared" si="10"/>
        <v>7.7511733252086629E-2</v>
      </c>
      <c r="F32" s="68">
        <f t="shared" si="10"/>
        <v>9.3839956292847818E-2</v>
      </c>
      <c r="G32" s="68">
        <f t="shared" si="10"/>
        <v>0.10927805938973056</v>
      </c>
      <c r="H32" s="68">
        <f t="shared" si="10"/>
        <v>0.10188630314175404</v>
      </c>
      <c r="I32" s="68">
        <f t="shared" si="10"/>
        <v>0.11394855766489725</v>
      </c>
      <c r="J32" s="68">
        <f t="shared" si="10"/>
        <v>0.12562251086121257</v>
      </c>
      <c r="K32" s="68">
        <f t="shared" si="10"/>
        <v>0.13695819530654135</v>
      </c>
      <c r="L32" s="68">
        <f t="shared" si="10"/>
        <v>0.14799764886464581</v>
      </c>
      <c r="M32" s="68">
        <f t="shared" si="10"/>
        <v>0.15877588407602283</v>
      </c>
      <c r="N32" s="68">
        <f t="shared" si="10"/>
        <v>8.6460112621440988E-2</v>
      </c>
      <c r="O32" s="68">
        <f t="shared" si="10"/>
        <v>9.2370580365174759E-2</v>
      </c>
      <c r="P32" s="68">
        <f t="shared" si="10"/>
        <v>9.802975192803344E-2</v>
      </c>
      <c r="Q32" s="68">
        <f t="shared" si="10"/>
        <v>0.1034660592635811</v>
      </c>
      <c r="R32" s="68">
        <f t="shared" si="10"/>
        <v>0.10870488746234314</v>
      </c>
      <c r="S32" s="68">
        <f t="shared" si="10"/>
        <v>0.11376894951245517</v>
      </c>
      <c r="T32" s="68">
        <f t="shared" si="10"/>
        <v>0.11867860674115406</v>
      </c>
      <c r="U32" s="68">
        <f t="shared" si="10"/>
        <v>0.12345214396589292</v>
      </c>
      <c r="V32" s="68">
        <f t="shared" si="10"/>
        <v>0.12810600670029984</v>
      </c>
      <c r="W32" s="68">
        <f t="shared" si="10"/>
        <v>0.13265500642208355</v>
      </c>
      <c r="X32" s="68">
        <f t="shared" si="10"/>
        <v>0.13711249884038743</v>
      </c>
      <c r="Y32" s="68">
        <f t="shared" si="10"/>
        <v>0.14149053924050306</v>
      </c>
      <c r="Z32" s="68">
        <f t="shared" si="10"/>
        <v>0.10574937281870585</v>
      </c>
      <c r="AA32" s="68">
        <f t="shared" si="10"/>
        <v>0.11582095064608328</v>
      </c>
      <c r="AB32" s="35"/>
      <c r="AC32" s="35"/>
    </row>
    <row r="33" spans="1:29" ht="18" customHeight="1" x14ac:dyDescent="0.2">
      <c r="A33" s="57" t="s">
        <v>161</v>
      </c>
      <c r="B33" s="68">
        <f t="shared" ref="B33:AA33" si="11">IFERROR(B24/B27,0)</f>
        <v>7.100309340938922E-2</v>
      </c>
      <c r="C33" s="68">
        <f t="shared" si="11"/>
        <v>7.5022869153210978E-2</v>
      </c>
      <c r="D33" s="68">
        <f t="shared" si="11"/>
        <v>7.873805610868391E-2</v>
      </c>
      <c r="E33" s="68">
        <f t="shared" si="11"/>
        <v>8.2191053172743556E-2</v>
      </c>
      <c r="F33" s="68">
        <f t="shared" si="11"/>
        <v>8.5417060086610083E-2</v>
      </c>
      <c r="G33" s="68">
        <f t="shared" si="11"/>
        <v>8.8445422150455588E-2</v>
      </c>
      <c r="H33" s="68">
        <f t="shared" si="11"/>
        <v>7.505244182406233E-2</v>
      </c>
      <c r="I33" s="68">
        <f t="shared" si="11"/>
        <v>7.7655918538604721E-2</v>
      </c>
      <c r="J33" s="68">
        <f t="shared" si="11"/>
        <v>8.016171826409528E-2</v>
      </c>
      <c r="K33" s="68">
        <f t="shared" si="11"/>
        <v>8.2581127907355209E-2</v>
      </c>
      <c r="L33" s="68">
        <f t="shared" si="11"/>
        <v>8.4923620379877954E-2</v>
      </c>
      <c r="M33" s="68">
        <f t="shared" si="11"/>
        <v>8.7197079668655419E-2</v>
      </c>
      <c r="N33" s="68">
        <f t="shared" si="11"/>
        <v>5.0330108176352154E-2</v>
      </c>
      <c r="O33" s="68">
        <f t="shared" si="11"/>
        <v>5.2086943377388117E-2</v>
      </c>
      <c r="P33" s="68">
        <f t="shared" si="11"/>
        <v>5.3769082971309841E-2</v>
      </c>
      <c r="Q33" s="68">
        <f t="shared" si="11"/>
        <v>5.5384978109366503E-2</v>
      </c>
      <c r="R33" s="68">
        <f t="shared" si="11"/>
        <v>5.6942174289232754E-2</v>
      </c>
      <c r="S33" s="68">
        <f t="shared" si="11"/>
        <v>5.8447422749356645E-2</v>
      </c>
      <c r="T33" s="68">
        <f t="shared" si="11"/>
        <v>5.9906775717409551E-2</v>
      </c>
      <c r="U33" s="68">
        <f t="shared" si="11"/>
        <v>6.1325668196565333E-2</v>
      </c>
      <c r="V33" s="68">
        <f t="shared" si="11"/>
        <v>6.2708988472911287E-2</v>
      </c>
      <c r="W33" s="68">
        <f t="shared" si="11"/>
        <v>6.4061139129550138E-2</v>
      </c>
      <c r="X33" s="68">
        <f t="shared" si="11"/>
        <v>6.5386090035022798E-2</v>
      </c>
      <c r="Y33" s="68">
        <f t="shared" si="11"/>
        <v>6.6687424518175206E-2</v>
      </c>
      <c r="Z33" s="68">
        <f t="shared" si="11"/>
        <v>8.1018545205882364E-2</v>
      </c>
      <c r="AA33" s="68">
        <f t="shared" si="11"/>
        <v>5.9057362263525474E-2</v>
      </c>
      <c r="AB33" s="35"/>
      <c r="AC33" s="35"/>
    </row>
    <row r="34" spans="1:29" ht="18" customHeight="1" x14ac:dyDescent="0.2">
      <c r="A34" s="57" t="s">
        <v>162</v>
      </c>
      <c r="B34" s="68">
        <f t="shared" ref="B34:AA34" si="12">IFERROR(B28/B7,0)</f>
        <v>795.87290549650459</v>
      </c>
      <c r="C34" s="68">
        <f t="shared" si="12"/>
        <v>174.38557457431332</v>
      </c>
      <c r="D34" s="68">
        <f t="shared" si="12"/>
        <v>169.53602394601111</v>
      </c>
      <c r="E34" s="68">
        <f t="shared" si="12"/>
        <v>164.70152250362148</v>
      </c>
      <c r="F34" s="68">
        <f t="shared" si="12"/>
        <v>159.91672351028572</v>
      </c>
      <c r="G34" s="68">
        <f t="shared" si="12"/>
        <v>155.20974921677143</v>
      </c>
      <c r="H34" s="68">
        <f t="shared" si="12"/>
        <v>183.20749526344576</v>
      </c>
      <c r="I34" s="68">
        <f t="shared" si="12"/>
        <v>176.87358059780274</v>
      </c>
      <c r="J34" s="68">
        <f t="shared" si="12"/>
        <v>170.77614760843053</v>
      </c>
      <c r="K34" s="68">
        <f t="shared" si="12"/>
        <v>164.91969973545213</v>
      </c>
      <c r="L34" s="68">
        <f t="shared" si="12"/>
        <v>159.30621317723697</v>
      </c>
      <c r="M34" s="68">
        <f t="shared" si="12"/>
        <v>153.93557616282109</v>
      </c>
      <c r="N34" s="68">
        <f t="shared" si="12"/>
        <v>299.83989590393389</v>
      </c>
      <c r="O34" s="68">
        <f t="shared" si="12"/>
        <v>295.14832874564149</v>
      </c>
      <c r="P34" s="68">
        <f t="shared" si="12"/>
        <v>290.44183687057938</v>
      </c>
      <c r="Q34" s="68">
        <f t="shared" si="12"/>
        <v>285.73356540065276</v>
      </c>
      <c r="R34" s="68">
        <f t="shared" si="12"/>
        <v>281.03506393016153</v>
      </c>
      <c r="S34" s="68">
        <f t="shared" si="12"/>
        <v>276.35645352733934</v>
      </c>
      <c r="T34" s="68">
        <f t="shared" si="12"/>
        <v>271.70657672566597</v>
      </c>
      <c r="U34" s="68">
        <f t="shared" si="12"/>
        <v>267.09313223162803</v>
      </c>
      <c r="V34" s="68">
        <f t="shared" si="12"/>
        <v>262.52279590009516</v>
      </c>
      <c r="W34" s="68">
        <f t="shared" si="12"/>
        <v>258.0013293708455</v>
      </c>
      <c r="X34" s="68">
        <f t="shared" si="12"/>
        <v>253.53367761818893</v>
      </c>
      <c r="Y34" s="68">
        <f t="shared" si="12"/>
        <v>249.12405653846787</v>
      </c>
      <c r="Z34" s="68">
        <f t="shared" si="12"/>
        <v>203.38752103131199</v>
      </c>
      <c r="AA34" s="68">
        <f t="shared" si="12"/>
        <v>272.8537337853499</v>
      </c>
      <c r="AB34" s="35"/>
      <c r="AC34" s="35"/>
    </row>
    <row r="35" spans="1:29" ht="18" customHeight="1" x14ac:dyDescent="0.2">
      <c r="A35" s="57" t="s">
        <v>163</v>
      </c>
      <c r="B35" s="68">
        <f t="shared" ref="B35:Y35" si="13">IFERROR(B27/B10,0)</f>
        <v>231.36655325171191</v>
      </c>
      <c r="C35" s="68">
        <f t="shared" si="13"/>
        <v>120.27054985551264</v>
      </c>
      <c r="D35" s="68">
        <f t="shared" si="13"/>
        <v>83.149904491588771</v>
      </c>
      <c r="E35" s="68">
        <f t="shared" si="13"/>
        <v>64.522718306294863</v>
      </c>
      <c r="F35" s="68">
        <f t="shared" si="13"/>
        <v>53.29304888967534</v>
      </c>
      <c r="G35" s="68">
        <f t="shared" si="13"/>
        <v>45.762609551887145</v>
      </c>
      <c r="H35" s="68">
        <f t="shared" si="13"/>
        <v>49.081453935614419</v>
      </c>
      <c r="I35" s="68">
        <f t="shared" si="13"/>
        <v>43.885030929204873</v>
      </c>
      <c r="J35" s="68">
        <f t="shared" si="13"/>
        <v>39.806270485002472</v>
      </c>
      <c r="K35" s="68">
        <f t="shared" si="13"/>
        <v>36.511177980702591</v>
      </c>
      <c r="L35" s="68">
        <f t="shared" si="13"/>
        <v>33.78740465092568</v>
      </c>
      <c r="M35" s="68">
        <f t="shared" si="13"/>
        <v>31.493544569468298</v>
      </c>
      <c r="N35" s="68">
        <f t="shared" si="13"/>
        <v>57.834554164517122</v>
      </c>
      <c r="O35" s="68">
        <f t="shared" si="13"/>
        <v>54.133625892282801</v>
      </c>
      <c r="P35" s="68">
        <f t="shared" si="13"/>
        <v>51.008301190688641</v>
      </c>
      <c r="Q35" s="68">
        <f t="shared" si="13"/>
        <v>48.328032794066175</v>
      </c>
      <c r="R35" s="68">
        <f t="shared" si="13"/>
        <v>45.99879393942183</v>
      </c>
      <c r="S35" s="68">
        <f t="shared" si="13"/>
        <v>43.951169941819657</v>
      </c>
      <c r="T35" s="68">
        <f t="shared" si="13"/>
        <v>42.132824090275051</v>
      </c>
      <c r="U35" s="68">
        <f t="shared" si="13"/>
        <v>40.503571172867375</v>
      </c>
      <c r="V35" s="68">
        <f t="shared" si="13"/>
        <v>39.032062932133734</v>
      </c>
      <c r="W35" s="68">
        <f t="shared" si="13"/>
        <v>37.693501803675346</v>
      </c>
      <c r="X35" s="68">
        <f t="shared" si="13"/>
        <v>36.468028944108454</v>
      </c>
      <c r="Y35" s="68">
        <f t="shared" si="13"/>
        <v>35.339565314739026</v>
      </c>
      <c r="Z35" s="68">
        <f>AVERAGE(B35:M35)</f>
        <v>69.410855574799072</v>
      </c>
      <c r="AA35" s="68">
        <f>AVERAGE(N35:Y35)</f>
        <v>44.368669348382944</v>
      </c>
      <c r="AB35" s="35"/>
      <c r="AC35" s="35"/>
    </row>
    <row r="36" spans="1:29" ht="18" customHeight="1" x14ac:dyDescent="0.2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</row>
    <row r="37" spans="1:29" ht="18" customHeight="1" x14ac:dyDescent="0.2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</row>
    <row r="38" spans="1:29" ht="18" customHeight="1" x14ac:dyDescent="0.2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</row>
    <row r="39" spans="1:29" ht="18" customHeight="1" x14ac:dyDescent="0.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</row>
    <row r="40" spans="1:29" ht="18" customHeight="1" x14ac:dyDescent="0.2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</row>
    <row r="41" spans="1:29" ht="18" customHeight="1" x14ac:dyDescent="0.2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</row>
    <row r="42" spans="1:29" ht="18" customHeight="1" x14ac:dyDescent="0.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</row>
    <row r="43" spans="1:29" ht="18" customHeight="1" x14ac:dyDescent="0.2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</row>
    <row r="44" spans="1:29" ht="18" customHeight="1" x14ac:dyDescent="0.2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</row>
    <row r="45" spans="1:29" ht="18" customHeight="1" x14ac:dyDescent="0.2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55"/>
  <sheetViews>
    <sheetView topLeftCell="A19" workbookViewId="0">
      <selection activeCell="O66" sqref="O66"/>
    </sheetView>
  </sheetViews>
  <sheetFormatPr baseColWidth="10" defaultColWidth="8.83203125" defaultRowHeight="13" x14ac:dyDescent="0.15"/>
  <cols>
    <col min="1" max="1" width="49.33203125" customWidth="1"/>
    <col min="2" max="6" width="11.5" customWidth="1"/>
    <col min="7" max="10" width="10.33203125" customWidth="1"/>
    <col min="11" max="26" width="11.1640625" customWidth="1"/>
    <col min="27" max="27" width="12.33203125" customWidth="1"/>
    <col min="28" max="28" width="40.83203125" customWidth="1"/>
    <col min="29" max="29" width="18.1640625" customWidth="1"/>
  </cols>
  <sheetData>
    <row r="1" spans="1:29" ht="21" x14ac:dyDescent="0.15">
      <c r="A1" s="32" t="s">
        <v>164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4"/>
      <c r="AC1" s="4"/>
    </row>
    <row r="2" spans="1:29" ht="15" x14ac:dyDescent="0.2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4"/>
      <c r="AC2" s="34"/>
    </row>
    <row r="3" spans="1:29" ht="15" x14ac:dyDescent="0.2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</row>
    <row r="4" spans="1:29" ht="16" x14ac:dyDescent="0.15">
      <c r="A4" s="1" t="s">
        <v>28</v>
      </c>
      <c r="B4" s="37" t="s">
        <v>52</v>
      </c>
      <c r="C4" s="37" t="s">
        <v>53</v>
      </c>
      <c r="D4" s="37" t="s">
        <v>54</v>
      </c>
      <c r="E4" s="37" t="s">
        <v>55</v>
      </c>
      <c r="F4" s="37" t="s">
        <v>56</v>
      </c>
      <c r="G4" s="37" t="s">
        <v>57</v>
      </c>
      <c r="H4" s="37" t="s">
        <v>58</v>
      </c>
      <c r="I4" s="37" t="s">
        <v>59</v>
      </c>
      <c r="J4" s="37" t="s">
        <v>60</v>
      </c>
      <c r="K4" s="37" t="s">
        <v>61</v>
      </c>
      <c r="L4" s="37" t="s">
        <v>62</v>
      </c>
      <c r="M4" s="37" t="s">
        <v>63</v>
      </c>
      <c r="N4" s="37" t="s">
        <v>64</v>
      </c>
      <c r="O4" s="37" t="s">
        <v>65</v>
      </c>
      <c r="P4" s="37" t="s">
        <v>66</v>
      </c>
      <c r="Q4" s="37" t="s">
        <v>67</v>
      </c>
      <c r="R4" s="37" t="s">
        <v>68</v>
      </c>
      <c r="S4" s="37" t="s">
        <v>69</v>
      </c>
      <c r="T4" s="37" t="s">
        <v>70</v>
      </c>
      <c r="U4" s="37" t="s">
        <v>71</v>
      </c>
      <c r="V4" s="37" t="s">
        <v>72</v>
      </c>
      <c r="W4" s="37" t="s">
        <v>73</v>
      </c>
      <c r="X4" s="37" t="s">
        <v>74</v>
      </c>
      <c r="Y4" s="37" t="s">
        <v>75</v>
      </c>
      <c r="Z4" s="37" t="s">
        <v>76</v>
      </c>
      <c r="AA4" s="37" t="s">
        <v>77</v>
      </c>
      <c r="AB4" s="38"/>
      <c r="AC4" s="38"/>
    </row>
    <row r="5" spans="1:29" ht="15" x14ac:dyDescent="0.2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</row>
    <row r="6" spans="1:29" ht="16" x14ac:dyDescent="0.2">
      <c r="A6" s="41" t="s">
        <v>165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2"/>
      <c r="AC6" s="42"/>
    </row>
    <row r="7" spans="1:29" ht="16" x14ac:dyDescent="0.2">
      <c r="A7" s="35" t="s">
        <v>125</v>
      </c>
      <c r="B7" s="51">
        <f>'Banking Revenue'!B13</f>
        <v>0</v>
      </c>
      <c r="C7" s="51">
        <f>'Banking Revenue'!C13</f>
        <v>0</v>
      </c>
      <c r="D7" s="51">
        <f>'Banking Revenue'!D13</f>
        <v>0</v>
      </c>
      <c r="E7" s="51">
        <f>'Banking Revenue'!E13</f>
        <v>128700</v>
      </c>
      <c r="F7" s="51">
        <f>'Banking Revenue'!F13</f>
        <v>385456.49999999994</v>
      </c>
      <c r="G7" s="51">
        <f>'Banking Revenue'!G13</f>
        <v>770034.62250000006</v>
      </c>
      <c r="H7" s="51">
        <f>'Banking Revenue'!H13</f>
        <v>1282609.8338625</v>
      </c>
      <c r="I7" s="51">
        <f>'Banking Revenue'!I13</f>
        <v>1923770.9152715625</v>
      </c>
      <c r="J7" s="51">
        <f>'Banking Revenue'!J13</f>
        <v>2694524.2008507592</v>
      </c>
      <c r="K7" s="51">
        <f>'Banking Revenue'!K13</f>
        <v>3596299.104428201</v>
      </c>
      <c r="L7" s="51">
        <f>'Banking Revenue'!L13</f>
        <v>4630954.9604546595</v>
      </c>
      <c r="M7" s="51">
        <f>'Banking Revenue'!M13</f>
        <v>5800789.2087031975</v>
      </c>
      <c r="N7" s="51">
        <f>'Banking Revenue'!N13</f>
        <v>7108546.9566188836</v>
      </c>
      <c r="O7" s="51">
        <f>'Banking Revenue'!O13</f>
        <v>8557431.9575585909</v>
      </c>
      <c r="P7" s="51">
        <f>'Banking Revenue'!P13</f>
        <v>10151119.047677521</v>
      </c>
      <c r="Q7" s="51">
        <f>'Banking Revenue'!Q13</f>
        <v>11885217.203039765</v>
      </c>
      <c r="R7" s="51">
        <f>'Banking Revenue'!R13</f>
        <v>13755664.909088647</v>
      </c>
      <c r="S7" s="51">
        <f>'Banking Revenue'!S13</f>
        <v>15758715.853164788</v>
      </c>
      <c r="T7" s="51">
        <f>'Banking Revenue'!T13</f>
        <v>17890925.395312451</v>
      </c>
      <c r="U7" s="51">
        <f>'Banking Revenue'!U13</f>
        <v>20149137.779901884</v>
      </c>
      <c r="V7" s="51">
        <f>'Banking Revenue'!V13</f>
        <v>22530474.052507043</v>
      </c>
      <c r="W7" s="51">
        <f>'Banking Revenue'!W13</f>
        <v>25032320.648294978</v>
      </c>
      <c r="X7" s="51">
        <f>'Banking Revenue'!X13</f>
        <v>27652318.619910277</v>
      </c>
      <c r="Y7" s="51">
        <f>'Banking Revenue'!Y13</f>
        <v>30388353.474479645</v>
      </c>
      <c r="Z7" s="51">
        <f>SUM(B7:M7)</f>
        <v>21213139.346070878</v>
      </c>
      <c r="AA7" s="51">
        <f>SUM(N7:Y7)</f>
        <v>210860225.89755449</v>
      </c>
      <c r="AB7" s="35"/>
      <c r="AC7" s="35"/>
    </row>
    <row r="8" spans="1:29" ht="16" x14ac:dyDescent="0.2">
      <c r="A8" s="35" t="s">
        <v>126</v>
      </c>
      <c r="B8" s="51">
        <f>'Banking Revenue'!B14</f>
        <v>322071.75</v>
      </c>
      <c r="C8" s="51">
        <f>'Banking Revenue'!C14</f>
        <v>657026.37</v>
      </c>
      <c r="D8" s="51">
        <f>'Banking Revenue'!D14</f>
        <v>1005765.6609000001</v>
      </c>
      <c r="E8" s="51">
        <f>'Banking Revenue'!E14</f>
        <v>1466572.3300800002</v>
      </c>
      <c r="F8" s="51">
        <f>'Banking Revenue'!F14</f>
        <v>2039481.0910702802</v>
      </c>
      <c r="G8" s="51">
        <f>'Banking Revenue'!G14</f>
        <v>2724905.8502337672</v>
      </c>
      <c r="H8" s="51">
        <f>'Banking Revenue'!H14</f>
        <v>3523642.7499637036</v>
      </c>
      <c r="I8" s="51">
        <f>'Banking Revenue'!I14</f>
        <v>4436874.3969492111</v>
      </c>
      <c r="J8" s="51">
        <f>'Banking Revenue'!J14</f>
        <v>5466175.2961478848</v>
      </c>
      <c r="K8" s="51">
        <f>'Banking Revenue'!K14</f>
        <v>6613518.5148729449</v>
      </c>
      <c r="L8" s="51">
        <f>'Banking Revenue'!L14</f>
        <v>7881283.6052703783</v>
      </c>
      <c r="M8" s="51">
        <f>'Banking Revenue'!M14</f>
        <v>9272265.8174411505</v>
      </c>
      <c r="N8" s="51">
        <f>'Banking Revenue'!N14</f>
        <v>10768288.047713002</v>
      </c>
      <c r="O8" s="51">
        <f>'Banking Revenue'!O14</f>
        <v>12371619.021611076</v>
      </c>
      <c r="P8" s="51">
        <f>'Banking Revenue'!P14</f>
        <v>14084884.242036201</v>
      </c>
      <c r="Q8" s="51">
        <f>'Banking Revenue'!Q14</f>
        <v>15904608.373326272</v>
      </c>
      <c r="R8" s="51">
        <f>'Banking Revenue'!R14</f>
        <v>17827595.003883231</v>
      </c>
      <c r="S8" s="51">
        <f>'Banking Revenue'!S14</f>
        <v>19850914.236444581</v>
      </c>
      <c r="T8" s="51">
        <f>'Banking Revenue'!T14</f>
        <v>21971890.959102385</v>
      </c>
      <c r="U8" s="51">
        <f>'Banking Revenue'!U14</f>
        <v>24188093.764101807</v>
      </c>
      <c r="V8" s="51">
        <f>'Banking Revenue'!V14</f>
        <v>26497324.483135391</v>
      </c>
      <c r="W8" s="51">
        <f>'Banking Revenue'!W14</f>
        <v>28897608.309449323</v>
      </c>
      <c r="X8" s="51">
        <f>'Banking Revenue'!X14</f>
        <v>31387184.478599355</v>
      </c>
      <c r="Y8" s="51">
        <f>'Banking Revenue'!Y14</f>
        <v>33964497.48113969</v>
      </c>
      <c r="Z8" s="51">
        <f>SUM(B8:M8)</f>
        <v>45409583.432929322</v>
      </c>
      <c r="AA8" s="51">
        <f>SUM(N8:Y8)</f>
        <v>257714508.40054229</v>
      </c>
      <c r="AB8" s="35"/>
      <c r="AC8" s="35"/>
    </row>
    <row r="9" spans="1:29" ht="16" x14ac:dyDescent="0.2">
      <c r="A9" s="53" t="s">
        <v>127</v>
      </c>
      <c r="B9" s="69">
        <f>'Banking Revenue'!B15</f>
        <v>322071.75</v>
      </c>
      <c r="C9" s="69">
        <f>'Banking Revenue'!C15</f>
        <v>657026.37</v>
      </c>
      <c r="D9" s="69">
        <f>'Banking Revenue'!D15</f>
        <v>1005765.6609000001</v>
      </c>
      <c r="E9" s="69">
        <f>'Banking Revenue'!E15</f>
        <v>1595272.3300800002</v>
      </c>
      <c r="F9" s="69">
        <f>'Banking Revenue'!F15</f>
        <v>2424937.5910702799</v>
      </c>
      <c r="G9" s="69">
        <f>'Banking Revenue'!G15</f>
        <v>3494940.4727337672</v>
      </c>
      <c r="H9" s="69">
        <f>'Banking Revenue'!H15</f>
        <v>4806252.5838262038</v>
      </c>
      <c r="I9" s="69">
        <f>'Banking Revenue'!I15</f>
        <v>6360645.3122207737</v>
      </c>
      <c r="J9" s="69">
        <f>'Banking Revenue'!J15</f>
        <v>8160699.4969986435</v>
      </c>
      <c r="K9" s="69">
        <f>'Banking Revenue'!K15</f>
        <v>10209817.619301146</v>
      </c>
      <c r="L9" s="69">
        <f>'Banking Revenue'!L15</f>
        <v>12512238.565725038</v>
      </c>
      <c r="M9" s="69">
        <f>'Banking Revenue'!M15</f>
        <v>15073055.026144348</v>
      </c>
      <c r="N9" s="69">
        <f>'Banking Revenue'!N15</f>
        <v>17876835.004331887</v>
      </c>
      <c r="O9" s="69">
        <f>'Banking Revenue'!O15</f>
        <v>20929050.979169667</v>
      </c>
      <c r="P9" s="69">
        <f>'Banking Revenue'!P15</f>
        <v>24236003.289713722</v>
      </c>
      <c r="Q9" s="69">
        <f>'Banking Revenue'!Q15</f>
        <v>27789825.576366037</v>
      </c>
      <c r="R9" s="69">
        <f>'Banking Revenue'!R15</f>
        <v>31583259.912971877</v>
      </c>
      <c r="S9" s="69">
        <f>'Banking Revenue'!S15</f>
        <v>35609630.08960937</v>
      </c>
      <c r="T9" s="69">
        <f>'Banking Revenue'!T15</f>
        <v>39862816.354414836</v>
      </c>
      <c r="U9" s="69">
        <f>'Banking Revenue'!U15</f>
        <v>44337231.544003695</v>
      </c>
      <c r="V9" s="69">
        <f>'Banking Revenue'!V15</f>
        <v>49027798.53564243</v>
      </c>
      <c r="W9" s="69">
        <f>'Banking Revenue'!W15</f>
        <v>53929928.9577443</v>
      </c>
      <c r="X9" s="69">
        <f>'Banking Revenue'!X15</f>
        <v>59039503.098509632</v>
      </c>
      <c r="Y9" s="69">
        <f>'Banking Revenue'!Y15</f>
        <v>64352850.955619335</v>
      </c>
      <c r="Z9" s="54">
        <f>SUM(B9:M9)</f>
        <v>66622722.7790002</v>
      </c>
      <c r="AA9" s="54">
        <f>SUM(N9:Y9)</f>
        <v>468574734.29809672</v>
      </c>
      <c r="AB9" s="35"/>
      <c r="AC9" s="35"/>
    </row>
    <row r="10" spans="1:29" ht="16" x14ac:dyDescent="0.2">
      <c r="A10" s="35" t="s">
        <v>166</v>
      </c>
      <c r="B10" s="70"/>
      <c r="C10" s="70">
        <f t="shared" ref="C10:Y10" si="0">IFERROR(C9/B9-1,0)</f>
        <v>1.04</v>
      </c>
      <c r="D10" s="70">
        <f t="shared" si="0"/>
        <v>0.5307843137254904</v>
      </c>
      <c r="E10" s="70">
        <f t="shared" si="0"/>
        <v>0.58612725816517286</v>
      </c>
      <c r="F10" s="70">
        <f t="shared" si="0"/>
        <v>0.52007750986859613</v>
      </c>
      <c r="G10" s="70">
        <f t="shared" si="0"/>
        <v>0.441249657559734</v>
      </c>
      <c r="H10" s="70">
        <f t="shared" si="0"/>
        <v>0.37520298881277347</v>
      </c>
      <c r="I10" s="70">
        <f t="shared" si="0"/>
        <v>0.32341053685471</v>
      </c>
      <c r="J10" s="70">
        <f t="shared" si="0"/>
        <v>0.28299867331376061</v>
      </c>
      <c r="K10" s="70">
        <f t="shared" si="0"/>
        <v>0.25109589233816676</v>
      </c>
      <c r="L10" s="70">
        <f t="shared" si="0"/>
        <v>0.22551048728542233</v>
      </c>
      <c r="M10" s="70">
        <f t="shared" si="0"/>
        <v>0.20466493241538664</v>
      </c>
      <c r="N10" s="70">
        <f t="shared" si="0"/>
        <v>0.18601272093310595</v>
      </c>
      <c r="O10" s="70">
        <f t="shared" si="0"/>
        <v>0.17073581392333548</v>
      </c>
      <c r="P10" s="70">
        <f t="shared" si="0"/>
        <v>0.15800775266090228</v>
      </c>
      <c r="Q10" s="70">
        <f t="shared" si="0"/>
        <v>0.146634007438043</v>
      </c>
      <c r="R10" s="70">
        <f t="shared" si="0"/>
        <v>0.1365044313135948</v>
      </c>
      <c r="S10" s="70">
        <f t="shared" si="0"/>
        <v>0.12748431250390913</v>
      </c>
      <c r="T10" s="70">
        <f t="shared" si="0"/>
        <v>0.11943921501297794</v>
      </c>
      <c r="U10" s="70">
        <f t="shared" si="0"/>
        <v>0.1122453353472932</v>
      </c>
      <c r="V10" s="70">
        <f t="shared" si="0"/>
        <v>0.10579296064039223</v>
      </c>
      <c r="W10" s="70">
        <f t="shared" si="0"/>
        <v>9.9986753811474927E-2</v>
      </c>
      <c r="X10" s="70">
        <f t="shared" si="0"/>
        <v>9.4744685177850618E-2</v>
      </c>
      <c r="Y10" s="70">
        <f t="shared" si="0"/>
        <v>8.9996486729303715E-2</v>
      </c>
      <c r="Z10" s="70">
        <f>AVERAGE(B10:M10)</f>
        <v>0.4346474773035649</v>
      </c>
      <c r="AA10" s="70">
        <f>AVERAGE(N10:Y10)</f>
        <v>0.12896537295768193</v>
      </c>
      <c r="AB10" s="35"/>
      <c r="AC10" s="35"/>
    </row>
    <row r="11" spans="1:29" ht="15" x14ac:dyDescent="0.2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</row>
    <row r="12" spans="1:29" ht="16" x14ac:dyDescent="0.2">
      <c r="A12" s="41" t="s">
        <v>167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2"/>
      <c r="AC12" s="42"/>
    </row>
    <row r="13" spans="1:29" ht="16" x14ac:dyDescent="0.2">
      <c r="A13" s="35" t="s">
        <v>168</v>
      </c>
      <c r="B13" s="51">
        <f>SUM(Costs!B14,Costs!B26)</f>
        <v>8000000</v>
      </c>
      <c r="C13" s="51">
        <f>SUM(Costs!C14,Costs!C26)</f>
        <v>0</v>
      </c>
      <c r="D13" s="51">
        <f>SUM(Costs!D14,Costs!D26)</f>
        <v>0</v>
      </c>
      <c r="E13" s="51">
        <f>SUM(Costs!E14,Costs!E26)</f>
        <v>0</v>
      </c>
      <c r="F13" s="51">
        <f>SUM(Costs!F14,Costs!F26)</f>
        <v>0</v>
      </c>
      <c r="G13" s="51">
        <f>SUM(Costs!G14,Costs!G26)</f>
        <v>0</v>
      </c>
      <c r="H13" s="51">
        <f>SUM(Costs!H14,Costs!H26)</f>
        <v>0</v>
      </c>
      <c r="I13" s="51">
        <f>SUM(Costs!I14,Costs!I26)</f>
        <v>0</v>
      </c>
      <c r="J13" s="51">
        <f>SUM(Costs!J14,Costs!J26)</f>
        <v>0</v>
      </c>
      <c r="K13" s="51">
        <f>SUM(Costs!K14,Costs!K26)</f>
        <v>0</v>
      </c>
      <c r="L13" s="51">
        <f>SUM(Costs!L14,Costs!L26)</f>
        <v>0</v>
      </c>
      <c r="M13" s="51">
        <f>SUM(Costs!M14,Costs!M26)</f>
        <v>0</v>
      </c>
      <c r="N13" s="51">
        <f>SUM(Costs!N14,Costs!N26)</f>
        <v>0</v>
      </c>
      <c r="O13" s="51">
        <f>SUM(Costs!O14,Costs!O26)</f>
        <v>0</v>
      </c>
      <c r="P13" s="51">
        <f>SUM(Costs!P14,Costs!P26)</f>
        <v>0</v>
      </c>
      <c r="Q13" s="51">
        <f>SUM(Costs!Q14,Costs!Q26)</f>
        <v>0</v>
      </c>
      <c r="R13" s="51">
        <f>SUM(Costs!R14,Costs!R26)</f>
        <v>0</v>
      </c>
      <c r="S13" s="51">
        <f>SUM(Costs!S14,Costs!S26)</f>
        <v>0</v>
      </c>
      <c r="T13" s="51">
        <f>SUM(Costs!T14,Costs!T26)</f>
        <v>0</v>
      </c>
      <c r="U13" s="51">
        <f>SUM(Costs!U14,Costs!U26)</f>
        <v>0</v>
      </c>
      <c r="V13" s="51">
        <f>SUM(Costs!V14,Costs!V26)</f>
        <v>0</v>
      </c>
      <c r="W13" s="51">
        <f>SUM(Costs!W14,Costs!W26)</f>
        <v>0</v>
      </c>
      <c r="X13" s="51">
        <f>SUM(Costs!X14,Costs!X26)</f>
        <v>0</v>
      </c>
      <c r="Y13" s="51">
        <f>SUM(Costs!Y14,Costs!Y26)</f>
        <v>0</v>
      </c>
      <c r="Z13" s="51">
        <f t="shared" ref="Z13:Z20" si="1">SUM(B13:M13)</f>
        <v>8000000</v>
      </c>
      <c r="AA13" s="51">
        <f t="shared" ref="AA13:AA20" si="2">SUM(N13:Y13)</f>
        <v>0</v>
      </c>
      <c r="AB13" s="35"/>
      <c r="AC13" s="35"/>
    </row>
    <row r="14" spans="1:29" ht="16" x14ac:dyDescent="0.2">
      <c r="A14" s="35" t="s">
        <v>143</v>
      </c>
      <c r="B14" s="51">
        <f>Costs!B15</f>
        <v>2000000</v>
      </c>
      <c r="C14" s="51">
        <f>Costs!C15</f>
        <v>2000000</v>
      </c>
      <c r="D14" s="51">
        <f>Costs!D15</f>
        <v>2000000</v>
      </c>
      <c r="E14" s="51">
        <f>Costs!E15</f>
        <v>2000000</v>
      </c>
      <c r="F14" s="51">
        <f>Costs!F15</f>
        <v>2000000</v>
      </c>
      <c r="G14" s="51">
        <f>Costs!G15</f>
        <v>2000000</v>
      </c>
      <c r="H14" s="51">
        <f>Costs!H15</f>
        <v>2600000</v>
      </c>
      <c r="I14" s="51">
        <f>Costs!I15</f>
        <v>2600000</v>
      </c>
      <c r="J14" s="51">
        <f>Costs!J15</f>
        <v>2600000</v>
      </c>
      <c r="K14" s="51">
        <f>Costs!K15</f>
        <v>2600000</v>
      </c>
      <c r="L14" s="51">
        <f>Costs!L15</f>
        <v>2600000</v>
      </c>
      <c r="M14" s="51">
        <f>Costs!M15</f>
        <v>2600000</v>
      </c>
      <c r="N14" s="51">
        <f>Costs!N15</f>
        <v>3200000</v>
      </c>
      <c r="O14" s="51">
        <f>Costs!O15</f>
        <v>3200000</v>
      </c>
      <c r="P14" s="51">
        <f>Costs!P15</f>
        <v>3200000</v>
      </c>
      <c r="Q14" s="51">
        <f>Costs!Q15</f>
        <v>3200000</v>
      </c>
      <c r="R14" s="51">
        <f>Costs!R15</f>
        <v>3200000</v>
      </c>
      <c r="S14" s="51">
        <f>Costs!S15</f>
        <v>3200000</v>
      </c>
      <c r="T14" s="51">
        <f>Costs!T15</f>
        <v>3200000</v>
      </c>
      <c r="U14" s="51">
        <f>Costs!U15</f>
        <v>3200000</v>
      </c>
      <c r="V14" s="51">
        <f>Costs!V15</f>
        <v>3200000</v>
      </c>
      <c r="W14" s="51">
        <f>Costs!W15</f>
        <v>3200000</v>
      </c>
      <c r="X14" s="51">
        <f>Costs!X15</f>
        <v>3200000</v>
      </c>
      <c r="Y14" s="51">
        <f>Costs!Y15</f>
        <v>3200000</v>
      </c>
      <c r="Z14" s="51">
        <f t="shared" si="1"/>
        <v>27600000</v>
      </c>
      <c r="AA14" s="51">
        <f t="shared" si="2"/>
        <v>38400000</v>
      </c>
      <c r="AB14" s="35"/>
      <c r="AC14" s="35"/>
    </row>
    <row r="15" spans="1:29" ht="16" x14ac:dyDescent="0.2">
      <c r="A15" s="35" t="s">
        <v>146</v>
      </c>
      <c r="B15" s="51">
        <f>Costs!B18</f>
        <v>109500.39044859924</v>
      </c>
      <c r="C15" s="51">
        <f>Costs!C18</f>
        <v>118391.82215302551</v>
      </c>
      <c r="D15" s="51">
        <f>Costs!D18</f>
        <v>128005.2381118512</v>
      </c>
      <c r="E15" s="51">
        <f>Costs!E18</f>
        <v>138399.2634465335</v>
      </c>
      <c r="F15" s="51">
        <f>Costs!F18</f>
        <v>149637.28363839205</v>
      </c>
      <c r="G15" s="51">
        <f>Costs!G18</f>
        <v>161787.83106982947</v>
      </c>
      <c r="H15" s="51">
        <f>Costs!H18</f>
        <v>174925.00295269964</v>
      </c>
      <c r="I15" s="51">
        <f>Costs!I18</f>
        <v>189128.9131924588</v>
      </c>
      <c r="J15" s="51">
        <f>Costs!J18</f>
        <v>204486.18094368649</v>
      </c>
      <c r="K15" s="51">
        <f>Costs!K18</f>
        <v>221090.45883631386</v>
      </c>
      <c r="L15" s="51">
        <f>Costs!L18</f>
        <v>239043.00409382253</v>
      </c>
      <c r="M15" s="51">
        <f>Costs!M18</f>
        <v>258453.29602624092</v>
      </c>
      <c r="N15" s="51">
        <f>Costs!N18</f>
        <v>3333333.3333333335</v>
      </c>
      <c r="O15" s="51">
        <f>Costs!O18</f>
        <v>3333333.3333333335</v>
      </c>
      <c r="P15" s="51">
        <f>Costs!P18</f>
        <v>3333333.3333333335</v>
      </c>
      <c r="Q15" s="51">
        <f>Costs!Q18</f>
        <v>3333333.3333333335</v>
      </c>
      <c r="R15" s="51">
        <f>Costs!R18</f>
        <v>3333333.3333333335</v>
      </c>
      <c r="S15" s="51">
        <f>Costs!S18</f>
        <v>3333333.3333333335</v>
      </c>
      <c r="T15" s="51">
        <f>Costs!T18</f>
        <v>3333333.3333333335</v>
      </c>
      <c r="U15" s="51">
        <f>Costs!U18</f>
        <v>3333333.3333333335</v>
      </c>
      <c r="V15" s="51">
        <f>Costs!V18</f>
        <v>3333333.3333333335</v>
      </c>
      <c r="W15" s="51">
        <f>Costs!W18</f>
        <v>3333333.3333333335</v>
      </c>
      <c r="X15" s="51">
        <f>Costs!X18</f>
        <v>3333333.3333333335</v>
      </c>
      <c r="Y15" s="51">
        <f>Costs!Y18</f>
        <v>3333333.3333333335</v>
      </c>
      <c r="Z15" s="51">
        <f t="shared" si="1"/>
        <v>2092848.6849134532</v>
      </c>
      <c r="AA15" s="51">
        <f t="shared" si="2"/>
        <v>40000000</v>
      </c>
      <c r="AB15" s="35"/>
      <c r="AC15" s="35"/>
    </row>
    <row r="16" spans="1:29" ht="16" x14ac:dyDescent="0.2">
      <c r="A16" s="35" t="s">
        <v>169</v>
      </c>
      <c r="B16" s="51">
        <f>Costs!B21</f>
        <v>50292.029278567177</v>
      </c>
      <c r="C16" s="51">
        <f>Costs!C21</f>
        <v>99743.717971563019</v>
      </c>
      <c r="D16" s="51">
        <f>Costs!D21</f>
        <v>148651.30963123607</v>
      </c>
      <c r="E16" s="51">
        <f>Costs!E21</f>
        <v>197252.86555397912</v>
      </c>
      <c r="F16" s="51">
        <f>Costs!F21</f>
        <v>245779.58358199731</v>
      </c>
      <c r="G16" s="51">
        <f>Costs!G21</f>
        <v>294457.05259473925</v>
      </c>
      <c r="H16" s="51">
        <f>Costs!H21</f>
        <v>343506.45023951365</v>
      </c>
      <c r="I16" s="51">
        <f>Costs!I21</f>
        <v>393145.69099438639</v>
      </c>
      <c r="J16" s="51">
        <f>Costs!J21</f>
        <v>443590.53124532342</v>
      </c>
      <c r="K16" s="51">
        <f>Costs!K21</f>
        <v>495055.63769052632</v>
      </c>
      <c r="L16" s="51">
        <f>Costs!L21</f>
        <v>547755.62505518878</v>
      </c>
      <c r="M16" s="51">
        <f>Costs!M21</f>
        <v>601906.06880693883</v>
      </c>
      <c r="N16" s="51">
        <f>Costs!N21</f>
        <v>654386.39529255498</v>
      </c>
      <c r="O16" s="51">
        <f>Costs!O21</f>
        <v>705386.12455467286</v>
      </c>
      <c r="P16" s="51">
        <f>Costs!P21</f>
        <v>755081.54466377629</v>
      </c>
      <c r="Q16" s="51">
        <f>Costs!Q21</f>
        <v>803636.79192351457</v>
      </c>
      <c r="R16" s="51">
        <f>Costs!R21</f>
        <v>851204.84653044434</v>
      </c>
      <c r="S16" s="51">
        <f>Costs!S21</f>
        <v>897928.45043213235</v>
      </c>
      <c r="T16" s="51">
        <f>Costs!T21</f>
        <v>943940.95359086595</v>
      </c>
      <c r="U16" s="51">
        <f>Costs!U21</f>
        <v>989367.09436638223</v>
      </c>
      <c r="V16" s="51">
        <f>Costs!V21</f>
        <v>1034323.7192765933</v>
      </c>
      <c r="W16" s="51">
        <f>Costs!W21</f>
        <v>1078920.4469771334</v>
      </c>
      <c r="X16" s="51">
        <f>Costs!X21</f>
        <v>1123260.2809157721</v>
      </c>
      <c r="Y16" s="51">
        <f>Costs!Y21</f>
        <v>1167440.1747636611</v>
      </c>
      <c r="Z16" s="51">
        <f t="shared" si="1"/>
        <v>3861136.5626439597</v>
      </c>
      <c r="AA16" s="51">
        <f t="shared" si="2"/>
        <v>11004876.823287504</v>
      </c>
      <c r="AB16" s="35"/>
      <c r="AC16" s="35"/>
    </row>
    <row r="17" spans="1:29" ht="16" x14ac:dyDescent="0.2">
      <c r="A17" s="35" t="s">
        <v>170</v>
      </c>
      <c r="B17" s="51">
        <f>Costs!B24</f>
        <v>165072.60878357015</v>
      </c>
      <c r="C17" s="51">
        <f>Costs!C24</f>
        <v>179908.11539146892</v>
      </c>
      <c r="D17" s="51">
        <f>Costs!D24</f>
        <v>194580.39288937082</v>
      </c>
      <c r="E17" s="51">
        <f>Costs!E24</f>
        <v>209160.85966619375</v>
      </c>
      <c r="F17" s="51">
        <f>Costs!F24</f>
        <v>223718.8750745992</v>
      </c>
      <c r="G17" s="51">
        <f>Costs!G24</f>
        <v>238322.11577842175</v>
      </c>
      <c r="H17" s="51">
        <f>Costs!H24</f>
        <v>253036.9350718541</v>
      </c>
      <c r="I17" s="51">
        <f>Costs!I24</f>
        <v>267928.70729831595</v>
      </c>
      <c r="J17" s="51">
        <f>Costs!J24</f>
        <v>283062.15937359701</v>
      </c>
      <c r="K17" s="51">
        <f>Costs!K24</f>
        <v>298501.69130715792</v>
      </c>
      <c r="L17" s="51">
        <f>Costs!L24</f>
        <v>314311.68751655659</v>
      </c>
      <c r="M17" s="51">
        <f>Costs!M24</f>
        <v>330556.82064208167</v>
      </c>
      <c r="N17" s="51">
        <f>Costs!N24</f>
        <v>380931.01044654317</v>
      </c>
      <c r="O17" s="51">
        <f>Costs!O24</f>
        <v>397760.92110304208</v>
      </c>
      <c r="P17" s="51">
        <f>Costs!P24</f>
        <v>414160.40973904618</v>
      </c>
      <c r="Q17" s="51">
        <f>Costs!Q24</f>
        <v>430183.64133475983</v>
      </c>
      <c r="R17" s="51">
        <f>Costs!R24</f>
        <v>445881.09935504664</v>
      </c>
      <c r="S17" s="51">
        <f>Costs!S24</f>
        <v>461299.88864260371</v>
      </c>
      <c r="T17" s="51">
        <f>Costs!T24</f>
        <v>476484.0146849858</v>
      </c>
      <c r="U17" s="51">
        <f>Costs!U24</f>
        <v>491474.64114090614</v>
      </c>
      <c r="V17" s="51">
        <f>Costs!V24</f>
        <v>506310.32736127585</v>
      </c>
      <c r="W17" s="51">
        <f>Costs!W24</f>
        <v>521027.24750245403</v>
      </c>
      <c r="X17" s="51">
        <f>Costs!X24</f>
        <v>535659.39270220476</v>
      </c>
      <c r="Y17" s="51">
        <f>Costs!Y24</f>
        <v>550238.75767200813</v>
      </c>
      <c r="Z17" s="51">
        <f t="shared" si="1"/>
        <v>2958160.9687931878</v>
      </c>
      <c r="AA17" s="51">
        <f t="shared" si="2"/>
        <v>5611411.3516848767</v>
      </c>
      <c r="AB17" s="35"/>
      <c r="AC17" s="35"/>
    </row>
    <row r="18" spans="1:29" ht="16" x14ac:dyDescent="0.2">
      <c r="A18" s="35" t="s">
        <v>153</v>
      </c>
      <c r="B18" s="51">
        <f>Costs!B25</f>
        <v>0</v>
      </c>
      <c r="C18" s="51">
        <f>Costs!C25</f>
        <v>0</v>
      </c>
      <c r="D18" s="51">
        <f>Costs!D25</f>
        <v>0</v>
      </c>
      <c r="E18" s="51">
        <f>Costs!E25</f>
        <v>0</v>
      </c>
      <c r="F18" s="51">
        <f>Costs!F25</f>
        <v>0</v>
      </c>
      <c r="G18" s="51">
        <f>Costs!G25</f>
        <v>0</v>
      </c>
      <c r="H18" s="51">
        <f>Costs!H25</f>
        <v>0</v>
      </c>
      <c r="I18" s="51">
        <f>Costs!I25</f>
        <v>0</v>
      </c>
      <c r="J18" s="51">
        <f>Costs!J25</f>
        <v>0</v>
      </c>
      <c r="K18" s="51">
        <f>Costs!K25</f>
        <v>0</v>
      </c>
      <c r="L18" s="51">
        <f>Costs!L25</f>
        <v>0</v>
      </c>
      <c r="M18" s="51">
        <f>Costs!M25</f>
        <v>0</v>
      </c>
      <c r="N18" s="51">
        <f>Costs!N25</f>
        <v>0</v>
      </c>
      <c r="O18" s="51">
        <f>Costs!O25</f>
        <v>0</v>
      </c>
      <c r="P18" s="51">
        <f>Costs!P25</f>
        <v>0</v>
      </c>
      <c r="Q18" s="51">
        <f>Costs!Q25</f>
        <v>0</v>
      </c>
      <c r="R18" s="51">
        <f>Costs!R25</f>
        <v>0</v>
      </c>
      <c r="S18" s="51">
        <f>Costs!S25</f>
        <v>0</v>
      </c>
      <c r="T18" s="51">
        <f>Costs!T25</f>
        <v>0</v>
      </c>
      <c r="U18" s="51">
        <f>Costs!U25</f>
        <v>0</v>
      </c>
      <c r="V18" s="51">
        <f>Costs!V25</f>
        <v>0</v>
      </c>
      <c r="W18" s="51">
        <f>Costs!W25</f>
        <v>0</v>
      </c>
      <c r="X18" s="51">
        <f>Costs!X25</f>
        <v>0</v>
      </c>
      <c r="Y18" s="51">
        <f>Costs!Y25</f>
        <v>0</v>
      </c>
      <c r="Z18" s="51">
        <f t="shared" si="1"/>
        <v>0</v>
      </c>
      <c r="AA18" s="51">
        <f t="shared" si="2"/>
        <v>0</v>
      </c>
      <c r="AB18" s="35"/>
      <c r="AC18" s="35"/>
    </row>
    <row r="19" spans="1:29" ht="16" x14ac:dyDescent="0.2">
      <c r="A19" s="63" t="s">
        <v>171</v>
      </c>
      <c r="B19" s="71">
        <f>Costs!B27</f>
        <v>2324865.0285107363</v>
      </c>
      <c r="C19" s="71">
        <f>Costs!C27</f>
        <v>2398043.6555160573</v>
      </c>
      <c r="D19" s="71">
        <f>Costs!D27</f>
        <v>2471236.9406324578</v>
      </c>
      <c r="E19" s="71">
        <f>Costs!E27</f>
        <v>2544812.9886667067</v>
      </c>
      <c r="F19" s="71">
        <f>Costs!F27</f>
        <v>2619135.7422949891</v>
      </c>
      <c r="G19" s="71">
        <f>Costs!G27</f>
        <v>2694566.9994429909</v>
      </c>
      <c r="H19" s="71">
        <f>Costs!H27</f>
        <v>3371468.388264067</v>
      </c>
      <c r="I19" s="71">
        <f>Costs!I27</f>
        <v>3450203.3114851615</v>
      </c>
      <c r="J19" s="71">
        <f>Costs!J27</f>
        <v>3531138.8715626067</v>
      </c>
      <c r="K19" s="71">
        <f>Costs!K27</f>
        <v>3614647.787833998</v>
      </c>
      <c r="L19" s="71">
        <f>Costs!L27</f>
        <v>3701110.3166655679</v>
      </c>
      <c r="M19" s="71">
        <f>Costs!M27</f>
        <v>3790916.1854752614</v>
      </c>
      <c r="N19" s="71">
        <f>Costs!N27</f>
        <v>7568650.7390724318</v>
      </c>
      <c r="O19" s="71">
        <f>Costs!O27</f>
        <v>7636480.3789910488</v>
      </c>
      <c r="P19" s="71">
        <f>Costs!P27</f>
        <v>7702575.287736157</v>
      </c>
      <c r="Q19" s="71">
        <f>Costs!Q27</f>
        <v>7767153.7665916085</v>
      </c>
      <c r="R19" s="71">
        <f>Costs!R27</f>
        <v>7830419.2792188246</v>
      </c>
      <c r="S19" s="71">
        <f>Costs!S27</f>
        <v>7892561.6724080695</v>
      </c>
      <c r="T19" s="71">
        <f>Costs!T27</f>
        <v>7953758.3016091855</v>
      </c>
      <c r="U19" s="71">
        <f>Costs!U27</f>
        <v>8014175.068840622</v>
      </c>
      <c r="V19" s="71">
        <f>Costs!V27</f>
        <v>8073967.3799712025</v>
      </c>
      <c r="W19" s="71">
        <f>Costs!W27</f>
        <v>8133281.0278129205</v>
      </c>
      <c r="X19" s="71">
        <f>Costs!X27</f>
        <v>8192253.0069513116</v>
      </c>
      <c r="Y19" s="71">
        <f>Costs!Y27</f>
        <v>8251012.265769003</v>
      </c>
      <c r="Z19" s="64">
        <f t="shared" si="1"/>
        <v>36512146.2163506</v>
      </c>
      <c r="AA19" s="64">
        <f t="shared" si="2"/>
        <v>95016288.1749724</v>
      </c>
      <c r="AB19" s="35"/>
      <c r="AC19" s="35"/>
    </row>
    <row r="20" spans="1:29" ht="16" x14ac:dyDescent="0.2">
      <c r="A20" s="53" t="s">
        <v>172</v>
      </c>
      <c r="B20" s="54">
        <f t="shared" ref="B20:Y20" si="3">B9-B19</f>
        <v>-2002793.2785107363</v>
      </c>
      <c r="C20" s="54">
        <f t="shared" si="3"/>
        <v>-1741017.2855160572</v>
      </c>
      <c r="D20" s="54">
        <f t="shared" si="3"/>
        <v>-1465471.2797324578</v>
      </c>
      <c r="E20" s="54">
        <f t="shared" si="3"/>
        <v>-949540.6585867065</v>
      </c>
      <c r="F20" s="54">
        <f t="shared" si="3"/>
        <v>-194198.15122470912</v>
      </c>
      <c r="G20" s="54">
        <f t="shared" si="3"/>
        <v>800373.47329077637</v>
      </c>
      <c r="H20" s="54">
        <f t="shared" si="3"/>
        <v>1434784.1955621368</v>
      </c>
      <c r="I20" s="54">
        <f t="shared" si="3"/>
        <v>2910442.0007356121</v>
      </c>
      <c r="J20" s="54">
        <f t="shared" si="3"/>
        <v>4629560.6254360368</v>
      </c>
      <c r="K20" s="54">
        <f t="shared" si="3"/>
        <v>6595169.8314671479</v>
      </c>
      <c r="L20" s="54">
        <f t="shared" si="3"/>
        <v>8811128.2490594704</v>
      </c>
      <c r="M20" s="54">
        <f t="shared" si="3"/>
        <v>11282138.840669086</v>
      </c>
      <c r="N20" s="54">
        <f t="shared" si="3"/>
        <v>10308184.265259456</v>
      </c>
      <c r="O20" s="54">
        <f t="shared" si="3"/>
        <v>13292570.600178618</v>
      </c>
      <c r="P20" s="54">
        <f t="shared" si="3"/>
        <v>16533428.001977565</v>
      </c>
      <c r="Q20" s="54">
        <f t="shared" si="3"/>
        <v>20022671.809774429</v>
      </c>
      <c r="R20" s="54">
        <f t="shared" si="3"/>
        <v>23752840.633753054</v>
      </c>
      <c r="S20" s="54">
        <f t="shared" si="3"/>
        <v>27717068.417201299</v>
      </c>
      <c r="T20" s="54">
        <f t="shared" si="3"/>
        <v>31909058.052805651</v>
      </c>
      <c r="U20" s="54">
        <f t="shared" si="3"/>
        <v>36323056.475163072</v>
      </c>
      <c r="V20" s="54">
        <f t="shared" si="3"/>
        <v>40953831.155671224</v>
      </c>
      <c r="W20" s="54">
        <f t="shared" si="3"/>
        <v>45796647.92993138</v>
      </c>
      <c r="X20" s="54">
        <f t="shared" si="3"/>
        <v>50847250.091558322</v>
      </c>
      <c r="Y20" s="54">
        <f t="shared" si="3"/>
        <v>56101838.68985033</v>
      </c>
      <c r="Z20" s="54">
        <f t="shared" si="1"/>
        <v>30110576.5626496</v>
      </c>
      <c r="AA20" s="54">
        <f t="shared" si="2"/>
        <v>373558446.12312436</v>
      </c>
      <c r="AB20" s="35"/>
      <c r="AC20" s="35"/>
    </row>
    <row r="21" spans="1:29" ht="16" x14ac:dyDescent="0.2">
      <c r="A21" s="35" t="s">
        <v>173</v>
      </c>
      <c r="B21" s="70">
        <f t="shared" ref="B21:AA21" si="4">IFERROR(B20/B9,0)</f>
        <v>-6.2184692650340683</v>
      </c>
      <c r="C21" s="70">
        <f t="shared" si="4"/>
        <v>-2.6498438495186383</v>
      </c>
      <c r="D21" s="70">
        <f t="shared" si="4"/>
        <v>-1.4570703064380766</v>
      </c>
      <c r="E21" s="70">
        <f t="shared" si="4"/>
        <v>-0.59522166885392458</v>
      </c>
      <c r="F21" s="70">
        <f t="shared" si="4"/>
        <v>-8.0083772852478669E-2</v>
      </c>
      <c r="G21" s="70">
        <f t="shared" si="4"/>
        <v>0.22900918614637192</v>
      </c>
      <c r="H21" s="70">
        <f t="shared" si="4"/>
        <v>0.29852450959202836</v>
      </c>
      <c r="I21" s="70">
        <f t="shared" si="4"/>
        <v>0.45757023979056805</v>
      </c>
      <c r="J21" s="70">
        <f t="shared" si="4"/>
        <v>0.56729948543488273</v>
      </c>
      <c r="K21" s="70">
        <f t="shared" si="4"/>
        <v>0.64596353014174435</v>
      </c>
      <c r="L21" s="70">
        <f t="shared" si="4"/>
        <v>0.70420078731522318</v>
      </c>
      <c r="M21" s="70">
        <f t="shared" si="4"/>
        <v>0.74849715741766454</v>
      </c>
      <c r="N21" s="70">
        <f t="shared" si="4"/>
        <v>0.57662244254990291</v>
      </c>
      <c r="O21" s="70">
        <f t="shared" si="4"/>
        <v>0.63512533909963187</v>
      </c>
      <c r="P21" s="70">
        <f t="shared" si="4"/>
        <v>0.68218459142538179</v>
      </c>
      <c r="Q21" s="70">
        <f t="shared" si="4"/>
        <v>0.72050368775264229</v>
      </c>
      <c r="R21" s="70">
        <f t="shared" si="4"/>
        <v>0.7520705810357875</v>
      </c>
      <c r="S21" s="70">
        <f t="shared" si="4"/>
        <v>0.77835878517842105</v>
      </c>
      <c r="T21" s="70">
        <f t="shared" si="4"/>
        <v>0.8004717421144204</v>
      </c>
      <c r="U21" s="70">
        <f t="shared" si="4"/>
        <v>0.8192450274914721</v>
      </c>
      <c r="V21" s="70">
        <f t="shared" si="4"/>
        <v>0.83531858208763832</v>
      </c>
      <c r="W21" s="70">
        <f t="shared" si="4"/>
        <v>0.84918798921123029</v>
      </c>
      <c r="X21" s="70">
        <f t="shared" si="4"/>
        <v>0.86124115927462619</v>
      </c>
      <c r="Y21" s="70">
        <f t="shared" si="4"/>
        <v>0.87178482160084436</v>
      </c>
      <c r="Z21" s="70">
        <f t="shared" si="4"/>
        <v>0.45195655936386614</v>
      </c>
      <c r="AA21" s="70">
        <f t="shared" si="4"/>
        <v>0.79722276678595916</v>
      </c>
      <c r="AB21" s="35"/>
      <c r="AC21" s="35"/>
    </row>
    <row r="22" spans="1:29" ht="16" x14ac:dyDescent="0.2">
      <c r="A22" s="35" t="s">
        <v>174</v>
      </c>
      <c r="B22" s="51">
        <f>IF(COLUMN()-COLUMN($B$22)+1&lt;Assumptions!$B$74,0,SUM($B$13:B13)/Assumptions!$B$73)</f>
        <v>333333.33333333331</v>
      </c>
      <c r="C22" s="51">
        <f>IF(COLUMN()-COLUMN($B$22)+1&lt;Assumptions!$B$74,0,SUM($B$13:C13)/Assumptions!$B$73)</f>
        <v>333333.33333333331</v>
      </c>
      <c r="D22" s="51">
        <f>IF(COLUMN()-COLUMN($B$22)+1&lt;Assumptions!$B$74,0,SUM($B$13:D13)/Assumptions!$B$73)</f>
        <v>333333.33333333331</v>
      </c>
      <c r="E22" s="51">
        <f>IF(COLUMN()-COLUMN($B$22)+1&lt;Assumptions!$B$74,0,SUM($B$13:E13)/Assumptions!$B$73)</f>
        <v>333333.33333333331</v>
      </c>
      <c r="F22" s="51">
        <f>IF(COLUMN()-COLUMN($B$22)+1&lt;Assumptions!$B$74,0,SUM($B$13:F13)/Assumptions!$B$73)</f>
        <v>333333.33333333331</v>
      </c>
      <c r="G22" s="51">
        <f>IF(COLUMN()-COLUMN($B$22)+1&lt;Assumptions!$B$74,0,SUM($B$13:G13)/Assumptions!$B$73)</f>
        <v>333333.33333333331</v>
      </c>
      <c r="H22" s="51">
        <f>IF(COLUMN()-COLUMN($B$22)+1&lt;Assumptions!$B$74,0,SUM($B$13:H13)/Assumptions!$B$73)</f>
        <v>333333.33333333331</v>
      </c>
      <c r="I22" s="51">
        <f>IF(COLUMN()-COLUMN($B$22)+1&lt;Assumptions!$B$74,0,SUM($B$13:I13)/Assumptions!$B$73)</f>
        <v>333333.33333333331</v>
      </c>
      <c r="J22" s="51">
        <f>IF(COLUMN()-COLUMN($B$22)+1&lt;Assumptions!$B$74,0,SUM($B$13:J13)/Assumptions!$B$73)</f>
        <v>333333.33333333331</v>
      </c>
      <c r="K22" s="51">
        <f>IF(COLUMN()-COLUMN($B$22)+1&lt;Assumptions!$B$74,0,SUM($B$13:K13)/Assumptions!$B$73)</f>
        <v>333333.33333333331</v>
      </c>
      <c r="L22" s="51">
        <f>IF(COLUMN()-COLUMN($B$22)+1&lt;Assumptions!$B$74,0,SUM($B$13:L13)/Assumptions!$B$73)</f>
        <v>333333.33333333331</v>
      </c>
      <c r="M22" s="51">
        <f>IF(COLUMN()-COLUMN($B$22)+1&lt;Assumptions!$B$74,0,SUM($B$13:M13)/Assumptions!$B$73)</f>
        <v>333333.33333333331</v>
      </c>
      <c r="N22" s="51">
        <f>IF(COLUMN()-COLUMN($B$22)+1&lt;Assumptions!$B$74,0,SUM($B$13:N13)/Assumptions!$B$73)</f>
        <v>333333.33333333331</v>
      </c>
      <c r="O22" s="51">
        <f>IF(COLUMN()-COLUMN($B$22)+1&lt;Assumptions!$B$74,0,SUM($B$13:O13)/Assumptions!$B$73)</f>
        <v>333333.33333333331</v>
      </c>
      <c r="P22" s="51">
        <f>IF(COLUMN()-COLUMN($B$22)+1&lt;Assumptions!$B$74,0,SUM($B$13:P13)/Assumptions!$B$73)</f>
        <v>333333.33333333331</v>
      </c>
      <c r="Q22" s="51">
        <f>IF(COLUMN()-COLUMN($B$22)+1&lt;Assumptions!$B$74,0,SUM($B$13:Q13)/Assumptions!$B$73)</f>
        <v>333333.33333333331</v>
      </c>
      <c r="R22" s="51">
        <f>IF(COLUMN()-COLUMN($B$22)+1&lt;Assumptions!$B$74,0,SUM($B$13:R13)/Assumptions!$B$73)</f>
        <v>333333.33333333331</v>
      </c>
      <c r="S22" s="51">
        <f>IF(COLUMN()-COLUMN($B$22)+1&lt;Assumptions!$B$74,0,SUM($B$13:S13)/Assumptions!$B$73)</f>
        <v>333333.33333333331</v>
      </c>
      <c r="T22" s="51">
        <f>IF(COLUMN()-COLUMN($B$22)+1&lt;Assumptions!$B$74,0,SUM($B$13:T13)/Assumptions!$B$73)</f>
        <v>333333.33333333331</v>
      </c>
      <c r="U22" s="51">
        <f>IF(COLUMN()-COLUMN($B$22)+1&lt;Assumptions!$B$74,0,SUM($B$13:U13)/Assumptions!$B$73)</f>
        <v>333333.33333333331</v>
      </c>
      <c r="V22" s="51">
        <f>IF(COLUMN()-COLUMN($B$22)+1&lt;Assumptions!$B$74,0,SUM($B$13:V13)/Assumptions!$B$73)</f>
        <v>333333.33333333331</v>
      </c>
      <c r="W22" s="51">
        <f>IF(COLUMN()-COLUMN($B$22)+1&lt;Assumptions!$B$74,0,SUM($B$13:W13)/Assumptions!$B$73)</f>
        <v>333333.33333333331</v>
      </c>
      <c r="X22" s="51">
        <f>IF(COLUMN()-COLUMN($B$22)+1&lt;Assumptions!$B$74,0,SUM($B$13:X13)/Assumptions!$B$73)</f>
        <v>333333.33333333331</v>
      </c>
      <c r="Y22" s="51">
        <f>IF(COLUMN()-COLUMN($B$22)+1&lt;Assumptions!$B$74,0,SUM($B$13:Y13)/Assumptions!$B$73)</f>
        <v>333333.33333333331</v>
      </c>
      <c r="Z22" s="51">
        <f>SUM(B22:M22)</f>
        <v>4000000.0000000005</v>
      </c>
      <c r="AA22" s="51">
        <f>SUM(N22:Y22)</f>
        <v>4000000.0000000005</v>
      </c>
      <c r="AB22" s="35"/>
      <c r="AC22" s="35"/>
    </row>
    <row r="23" spans="1:29" ht="16" x14ac:dyDescent="0.2">
      <c r="A23" s="63" t="s">
        <v>175</v>
      </c>
      <c r="B23" s="64">
        <f t="shared" ref="B23:Y23" si="5">B20-B22</f>
        <v>-2336126.6118440698</v>
      </c>
      <c r="C23" s="64">
        <f t="shared" si="5"/>
        <v>-2074350.6188493904</v>
      </c>
      <c r="D23" s="64">
        <f t="shared" si="5"/>
        <v>-1798804.6130657911</v>
      </c>
      <c r="E23" s="64">
        <f t="shared" si="5"/>
        <v>-1282873.9919200398</v>
      </c>
      <c r="F23" s="64">
        <f t="shared" si="5"/>
        <v>-527531.48455804237</v>
      </c>
      <c r="G23" s="64">
        <f t="shared" si="5"/>
        <v>467040.13995744305</v>
      </c>
      <c r="H23" s="64">
        <f t="shared" si="5"/>
        <v>1101450.8622288036</v>
      </c>
      <c r="I23" s="64">
        <f t="shared" si="5"/>
        <v>2577108.6674022786</v>
      </c>
      <c r="J23" s="64">
        <f t="shared" si="5"/>
        <v>4296227.2921027038</v>
      </c>
      <c r="K23" s="64">
        <f t="shared" si="5"/>
        <v>6261836.4981338149</v>
      </c>
      <c r="L23" s="64">
        <f t="shared" si="5"/>
        <v>8477794.9157261364</v>
      </c>
      <c r="M23" s="64">
        <f t="shared" si="5"/>
        <v>10948805.507335752</v>
      </c>
      <c r="N23" s="64">
        <f t="shared" si="5"/>
        <v>9974850.9319261219</v>
      </c>
      <c r="O23" s="64">
        <f t="shared" si="5"/>
        <v>12959237.266845284</v>
      </c>
      <c r="P23" s="64">
        <f t="shared" si="5"/>
        <v>16200094.668644231</v>
      </c>
      <c r="Q23" s="64">
        <f t="shared" si="5"/>
        <v>19689338.476441097</v>
      </c>
      <c r="R23" s="64">
        <f t="shared" si="5"/>
        <v>23419507.300419722</v>
      </c>
      <c r="S23" s="64">
        <f t="shared" si="5"/>
        <v>27383735.083867967</v>
      </c>
      <c r="T23" s="64">
        <f t="shared" si="5"/>
        <v>31575724.719472319</v>
      </c>
      <c r="U23" s="64">
        <f t="shared" si="5"/>
        <v>35989723.141829737</v>
      </c>
      <c r="V23" s="64">
        <f t="shared" si="5"/>
        <v>40620497.822337888</v>
      </c>
      <c r="W23" s="64">
        <f t="shared" si="5"/>
        <v>45463314.596598044</v>
      </c>
      <c r="X23" s="64">
        <f t="shared" si="5"/>
        <v>50513916.758224986</v>
      </c>
      <c r="Y23" s="64">
        <f t="shared" si="5"/>
        <v>55768505.356516995</v>
      </c>
      <c r="Z23" s="64">
        <f>SUM(B23:M23)</f>
        <v>26110576.5626496</v>
      </c>
      <c r="AA23" s="64">
        <f>SUM(N23:Y23)</f>
        <v>369558446.12312442</v>
      </c>
      <c r="AB23" s="35"/>
      <c r="AC23" s="35"/>
    </row>
    <row r="24" spans="1:29" ht="16" x14ac:dyDescent="0.2">
      <c r="A24" s="35" t="s">
        <v>176</v>
      </c>
      <c r="B24" s="51">
        <f>MAX(B23,0)*Assumptions!$B$69</f>
        <v>0</v>
      </c>
      <c r="C24" s="51">
        <f>MAX(C23,0)*Assumptions!$B$69</f>
        <v>0</v>
      </c>
      <c r="D24" s="51">
        <f>MAX(D23,0)*Assumptions!$B$69</f>
        <v>0</v>
      </c>
      <c r="E24" s="51">
        <f>MAX(E23,0)*Assumptions!$B$69</f>
        <v>0</v>
      </c>
      <c r="F24" s="51">
        <f>MAX(F23,0)*Assumptions!$B$69</f>
        <v>0</v>
      </c>
      <c r="G24" s="51">
        <f>MAX(G23,0)*Assumptions!$B$69</f>
        <v>93408.02799148862</v>
      </c>
      <c r="H24" s="51">
        <f>MAX(H23,0)*Assumptions!$B$69</f>
        <v>220290.17244576072</v>
      </c>
      <c r="I24" s="51">
        <f>MAX(I23,0)*Assumptions!$B$69</f>
        <v>515421.73348045576</v>
      </c>
      <c r="J24" s="51">
        <f>MAX(J23,0)*Assumptions!$B$69</f>
        <v>859245.45842054079</v>
      </c>
      <c r="K24" s="51">
        <f>MAX(K23,0)*Assumptions!$B$69</f>
        <v>1252367.299626763</v>
      </c>
      <c r="L24" s="51">
        <f>MAX(L23,0)*Assumptions!$B$69</f>
        <v>1695558.9831452274</v>
      </c>
      <c r="M24" s="51">
        <f>MAX(M23,0)*Assumptions!$B$69</f>
        <v>2189761.1014671507</v>
      </c>
      <c r="N24" s="51">
        <f>MAX(N23,0)*Assumptions!$B$69</f>
        <v>1994970.1863852246</v>
      </c>
      <c r="O24" s="51">
        <f>MAX(O23,0)*Assumptions!$B$69</f>
        <v>2591847.4533690568</v>
      </c>
      <c r="P24" s="51">
        <f>MAX(P23,0)*Assumptions!$B$69</f>
        <v>3240018.9337288463</v>
      </c>
      <c r="Q24" s="51">
        <f>MAX(Q23,0)*Assumptions!$B$69</f>
        <v>3937867.6952882195</v>
      </c>
      <c r="R24" s="51">
        <f>MAX(R23,0)*Assumptions!$B$69</f>
        <v>4683901.4600839447</v>
      </c>
      <c r="S24" s="51">
        <f>MAX(S23,0)*Assumptions!$B$69</f>
        <v>5476747.0167735936</v>
      </c>
      <c r="T24" s="51">
        <f>MAX(T23,0)*Assumptions!$B$69</f>
        <v>6315144.9438944645</v>
      </c>
      <c r="U24" s="51">
        <f>MAX(U23,0)*Assumptions!$B$69</f>
        <v>7197944.6283659479</v>
      </c>
      <c r="V24" s="51">
        <f>MAX(V23,0)*Assumptions!$B$69</f>
        <v>8124099.5644675782</v>
      </c>
      <c r="W24" s="51">
        <f>MAX(W23,0)*Assumptions!$B$69</f>
        <v>9092662.9193196092</v>
      </c>
      <c r="X24" s="51">
        <f>MAX(X23,0)*Assumptions!$B$69</f>
        <v>10102783.351644998</v>
      </c>
      <c r="Y24" s="51">
        <f>MAX(Y23,0)*Assumptions!$B$69</f>
        <v>11153701.071303399</v>
      </c>
      <c r="Z24" s="72">
        <f>SUM(B24:M24)</f>
        <v>6826052.776577387</v>
      </c>
      <c r="AA24" s="72">
        <f>SUM(N24:Y24)</f>
        <v>73911689.224624887</v>
      </c>
      <c r="AB24" s="35"/>
      <c r="AC24" s="35"/>
    </row>
    <row r="25" spans="1:29" ht="16" x14ac:dyDescent="0.2">
      <c r="A25" s="53" t="s">
        <v>177</v>
      </c>
      <c r="B25" s="54">
        <f t="shared" ref="B25:Y25" si="6">B23-B24</f>
        <v>-2336126.6118440698</v>
      </c>
      <c r="C25" s="54">
        <f t="shared" si="6"/>
        <v>-2074350.6188493904</v>
      </c>
      <c r="D25" s="54">
        <f t="shared" si="6"/>
        <v>-1798804.6130657911</v>
      </c>
      <c r="E25" s="54">
        <f t="shared" si="6"/>
        <v>-1282873.9919200398</v>
      </c>
      <c r="F25" s="54">
        <f t="shared" si="6"/>
        <v>-527531.48455804237</v>
      </c>
      <c r="G25" s="54">
        <f t="shared" si="6"/>
        <v>373632.11196595442</v>
      </c>
      <c r="H25" s="54">
        <f t="shared" si="6"/>
        <v>881160.68978304288</v>
      </c>
      <c r="I25" s="54">
        <f t="shared" si="6"/>
        <v>2061686.9339218228</v>
      </c>
      <c r="J25" s="54">
        <f t="shared" si="6"/>
        <v>3436981.8336821632</v>
      </c>
      <c r="K25" s="54">
        <f t="shared" si="6"/>
        <v>5009469.1985070519</v>
      </c>
      <c r="L25" s="54">
        <f t="shared" si="6"/>
        <v>6782235.9325809088</v>
      </c>
      <c r="M25" s="54">
        <f t="shared" si="6"/>
        <v>8759044.4058686011</v>
      </c>
      <c r="N25" s="54">
        <f t="shared" si="6"/>
        <v>7979880.7455408974</v>
      </c>
      <c r="O25" s="54">
        <f t="shared" si="6"/>
        <v>10367389.813476227</v>
      </c>
      <c r="P25" s="54">
        <f t="shared" si="6"/>
        <v>12960075.734915385</v>
      </c>
      <c r="Q25" s="54">
        <f t="shared" si="6"/>
        <v>15751470.781152878</v>
      </c>
      <c r="R25" s="54">
        <f t="shared" si="6"/>
        <v>18735605.840335779</v>
      </c>
      <c r="S25" s="54">
        <f t="shared" si="6"/>
        <v>21906988.067094374</v>
      </c>
      <c r="T25" s="54">
        <f t="shared" si="6"/>
        <v>25260579.775577854</v>
      </c>
      <c r="U25" s="54">
        <f t="shared" si="6"/>
        <v>28791778.513463788</v>
      </c>
      <c r="V25" s="54">
        <f t="shared" si="6"/>
        <v>32496398.257870309</v>
      </c>
      <c r="W25" s="54">
        <f t="shared" si="6"/>
        <v>36370651.677278437</v>
      </c>
      <c r="X25" s="54">
        <f t="shared" si="6"/>
        <v>40411133.406579986</v>
      </c>
      <c r="Y25" s="54">
        <f t="shared" si="6"/>
        <v>44614804.285213597</v>
      </c>
      <c r="Z25" s="54">
        <f>SUM(B25:M25)</f>
        <v>19284523.786072209</v>
      </c>
      <c r="AA25" s="54">
        <f>SUM(N25:Y25)</f>
        <v>295646756.89849949</v>
      </c>
      <c r="AB25" s="35"/>
      <c r="AC25" s="35"/>
    </row>
    <row r="26" spans="1:29" ht="16" x14ac:dyDescent="0.2">
      <c r="A26" s="35" t="s">
        <v>178</v>
      </c>
      <c r="B26" s="70">
        <f t="shared" ref="B26:AA26" si="7">IFERROR(B25/B9,0)</f>
        <v>-7.2534353349651743</v>
      </c>
      <c r="C26" s="70">
        <f t="shared" si="7"/>
        <v>-3.1571801583083956</v>
      </c>
      <c r="D26" s="70">
        <f t="shared" si="7"/>
        <v>-1.78849277023054</v>
      </c>
      <c r="E26" s="70">
        <f t="shared" si="7"/>
        <v>-0.80417240851642291</v>
      </c>
      <c r="F26" s="70">
        <f t="shared" si="7"/>
        <v>-0.21754435516223286</v>
      </c>
      <c r="G26" s="70">
        <f t="shared" si="7"/>
        <v>0.10690657391188604</v>
      </c>
      <c r="H26" s="70">
        <f t="shared" si="7"/>
        <v>0.18333632584111106</v>
      </c>
      <c r="I26" s="70">
        <f t="shared" si="7"/>
        <v>0.32413172449038818</v>
      </c>
      <c r="J26" s="70">
        <f t="shared" si="7"/>
        <v>0.42116265094018257</v>
      </c>
      <c r="K26" s="70">
        <f t="shared" si="7"/>
        <v>0.49065217277112794</v>
      </c>
      <c r="L26" s="70">
        <f t="shared" si="7"/>
        <v>0.54204816324071614</v>
      </c>
      <c r="M26" s="70">
        <f t="shared" si="7"/>
        <v>0.58110611224306952</v>
      </c>
      <c r="N26" s="70">
        <f t="shared" si="7"/>
        <v>0.4463810704527521</v>
      </c>
      <c r="O26" s="70">
        <f t="shared" si="7"/>
        <v>0.49535881124255066</v>
      </c>
      <c r="P26" s="70">
        <f t="shared" si="7"/>
        <v>0.53474475886112449</v>
      </c>
      <c r="Q26" s="70">
        <f t="shared" si="7"/>
        <v>0.5668071121161975</v>
      </c>
      <c r="R26" s="70">
        <f t="shared" si="7"/>
        <v>0.59321317343307844</v>
      </c>
      <c r="S26" s="70">
        <f t="shared" si="7"/>
        <v>0.61519841716880608</v>
      </c>
      <c r="T26" s="70">
        <f t="shared" si="7"/>
        <v>0.63368778440011619</v>
      </c>
      <c r="U26" s="70">
        <f t="shared" si="7"/>
        <v>0.64938151325232385</v>
      </c>
      <c r="V26" s="70">
        <f t="shared" si="7"/>
        <v>0.66281577448854745</v>
      </c>
      <c r="W26" s="70">
        <f t="shared" si="7"/>
        <v>0.67440570347822859</v>
      </c>
      <c r="X26" s="70">
        <f t="shared" si="7"/>
        <v>0.68447617757135404</v>
      </c>
      <c r="Y26" s="70">
        <f t="shared" si="7"/>
        <v>0.69328403672406069</v>
      </c>
      <c r="Z26" s="70">
        <f t="shared" si="7"/>
        <v>0.28945865587094832</v>
      </c>
      <c r="AA26" s="70">
        <f t="shared" si="7"/>
        <v>0.63094899331557996</v>
      </c>
      <c r="AB26" s="35"/>
      <c r="AC26" s="35"/>
    </row>
    <row r="27" spans="1:29" ht="15" x14ac:dyDescent="0.2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</row>
    <row r="28" spans="1:29" ht="16" x14ac:dyDescent="0.2">
      <c r="A28" s="41" t="s">
        <v>179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2"/>
      <c r="AC28" s="42"/>
    </row>
    <row r="29" spans="1:29" ht="16" x14ac:dyDescent="0.2">
      <c r="A29" s="35" t="s">
        <v>180</v>
      </c>
      <c r="B29" s="73">
        <f t="shared" ref="B29:Y29" si="8">IFERROR(B9/B19,0)</f>
        <v>0.13853352605433311</v>
      </c>
      <c r="C29" s="73">
        <f t="shared" si="8"/>
        <v>0.27398432405043449</v>
      </c>
      <c r="D29" s="73">
        <f t="shared" si="8"/>
        <v>0.40698876111919763</v>
      </c>
      <c r="E29" s="73">
        <f t="shared" si="8"/>
        <v>0.62687212662955039</v>
      </c>
      <c r="F29" s="73">
        <f t="shared" si="8"/>
        <v>0.92585410977800442</v>
      </c>
      <c r="G29" s="73">
        <f t="shared" si="8"/>
        <v>1.2970323148232077</v>
      </c>
      <c r="H29" s="73">
        <f t="shared" si="8"/>
        <v>1.4255665574550713</v>
      </c>
      <c r="I29" s="73">
        <f t="shared" si="8"/>
        <v>1.8435566655006177</v>
      </c>
      <c r="J29" s="73">
        <f t="shared" si="8"/>
        <v>2.3110672771097653</v>
      </c>
      <c r="K29" s="73">
        <f t="shared" si="8"/>
        <v>2.8245677638814057</v>
      </c>
      <c r="L29" s="73">
        <f t="shared" si="8"/>
        <v>3.3806716080264416</v>
      </c>
      <c r="M29" s="73">
        <f t="shared" si="8"/>
        <v>3.9760982012464785</v>
      </c>
      <c r="N29" s="73">
        <f t="shared" si="8"/>
        <v>2.3619579791209606</v>
      </c>
      <c r="O29" s="73">
        <f t="shared" si="8"/>
        <v>2.7406671582301461</v>
      </c>
      <c r="P29" s="73">
        <f t="shared" si="8"/>
        <v>3.1464805450589579</v>
      </c>
      <c r="Q29" s="73">
        <f t="shared" si="8"/>
        <v>3.5778647380327069</v>
      </c>
      <c r="R29" s="73">
        <f t="shared" si="8"/>
        <v>4.0334059756915943</v>
      </c>
      <c r="S29" s="73">
        <f t="shared" si="8"/>
        <v>4.5117962415293551</v>
      </c>
      <c r="T29" s="73">
        <f t="shared" si="8"/>
        <v>5.0118214362070681</v>
      </c>
      <c r="U29" s="73">
        <f t="shared" si="8"/>
        <v>5.5323512605044431</v>
      </c>
      <c r="V29" s="73">
        <f t="shared" si="8"/>
        <v>6.0723305195985695</v>
      </c>
      <c r="W29" s="73">
        <f t="shared" si="8"/>
        <v>6.6307716127505216</v>
      </c>
      <c r="X29" s="73">
        <f t="shared" si="8"/>
        <v>7.2067480152789818</v>
      </c>
      <c r="Y29" s="73">
        <f t="shared" si="8"/>
        <v>7.7993885941244061</v>
      </c>
      <c r="Z29" s="73">
        <f>AVERAGE(B29:M29)</f>
        <v>1.6192327696395423</v>
      </c>
      <c r="AA29" s="73">
        <f>AVERAGE(N29:Y29)</f>
        <v>4.8854653396773093</v>
      </c>
      <c r="AB29" s="35"/>
      <c r="AC29" s="35"/>
    </row>
    <row r="30" spans="1:29" ht="16" x14ac:dyDescent="0.2">
      <c r="A30" s="35" t="s">
        <v>181</v>
      </c>
      <c r="B30" s="70">
        <f t="shared" ref="B30:Y30" si="9">IFERROR(B15/B9,0)</f>
        <v>0.33998756627552473</v>
      </c>
      <c r="C30" s="70">
        <f t="shared" si="9"/>
        <v>0.18019341012602813</v>
      </c>
      <c r="D30" s="70">
        <f t="shared" si="9"/>
        <v>0.127271434180112</v>
      </c>
      <c r="E30" s="70">
        <f t="shared" si="9"/>
        <v>8.6755885397694452E-2</v>
      </c>
      <c r="F30" s="70">
        <f t="shared" si="9"/>
        <v>6.1707684432549689E-2</v>
      </c>
      <c r="G30" s="70">
        <f t="shared" si="9"/>
        <v>4.629201336390084E-2</v>
      </c>
      <c r="H30" s="70">
        <f t="shared" si="9"/>
        <v>3.6395299643915885E-2</v>
      </c>
      <c r="I30" s="70">
        <f t="shared" si="9"/>
        <v>2.9734233542166463E-2</v>
      </c>
      <c r="J30" s="70">
        <f t="shared" si="9"/>
        <v>2.5057433007904872E-2</v>
      </c>
      <c r="K30" s="70">
        <f t="shared" si="9"/>
        <v>2.1654692285428632E-2</v>
      </c>
      <c r="L30" s="70">
        <f t="shared" si="9"/>
        <v>1.9104735162949707E-2</v>
      </c>
      <c r="M30" s="70">
        <f t="shared" si="9"/>
        <v>1.7146709514292317E-2</v>
      </c>
      <c r="N30" s="70">
        <f t="shared" si="9"/>
        <v>0.18646104483962656</v>
      </c>
      <c r="O30" s="70">
        <f t="shared" si="9"/>
        <v>0.15926825046443549</v>
      </c>
      <c r="P30" s="70">
        <f t="shared" si="9"/>
        <v>0.13753642848976141</v>
      </c>
      <c r="Q30" s="70">
        <f t="shared" si="9"/>
        <v>0.11994797607395491</v>
      </c>
      <c r="R30" s="70">
        <f t="shared" si="9"/>
        <v>0.10554114244439558</v>
      </c>
      <c r="S30" s="70">
        <f t="shared" si="9"/>
        <v>9.3607637174135533E-2</v>
      </c>
      <c r="T30" s="70">
        <f t="shared" si="9"/>
        <v>8.3620116142751277E-2</v>
      </c>
      <c r="U30" s="70">
        <f t="shared" si="9"/>
        <v>7.5181359260671834E-2</v>
      </c>
      <c r="V30" s="70">
        <f t="shared" si="9"/>
        <v>6.7988639769539172E-2</v>
      </c>
      <c r="W30" s="70">
        <f t="shared" si="9"/>
        <v>6.1808598634444691E-2</v>
      </c>
      <c r="X30" s="70">
        <f t="shared" si="9"/>
        <v>5.645937310433561E-2</v>
      </c>
      <c r="Y30" s="70">
        <f t="shared" si="9"/>
        <v>5.1797756957685563E-2</v>
      </c>
      <c r="Z30" s="70">
        <f>AVERAGE(B30:M30)</f>
        <v>8.26084247443723E-2</v>
      </c>
      <c r="AA30" s="70">
        <f>AVERAGE(N30:Y30)</f>
        <v>9.9934860279644822E-2</v>
      </c>
      <c r="AB30" s="35"/>
      <c r="AC30" s="35"/>
    </row>
    <row r="31" spans="1:29" ht="16" x14ac:dyDescent="0.2">
      <c r="A31" s="35" t="s">
        <v>182</v>
      </c>
      <c r="B31" s="70">
        <f t="shared" ref="B31:Y31" si="10">IFERROR(B14/B9,0)</f>
        <v>6.2097964195866293</v>
      </c>
      <c r="C31" s="70">
        <f t="shared" si="10"/>
        <v>3.044017852738544</v>
      </c>
      <c r="D31" s="70">
        <f t="shared" si="10"/>
        <v>1.9885347827547806</v>
      </c>
      <c r="E31" s="70">
        <f t="shared" si="10"/>
        <v>1.2537044379749904</v>
      </c>
      <c r="F31" s="70">
        <f t="shared" si="10"/>
        <v>0.82476349385852532</v>
      </c>
      <c r="G31" s="70">
        <f t="shared" si="10"/>
        <v>0.57225581253908619</v>
      </c>
      <c r="H31" s="70">
        <f t="shared" si="10"/>
        <v>0.54096199786698873</v>
      </c>
      <c r="I31" s="70">
        <f t="shared" si="10"/>
        <v>0.40876355658514602</v>
      </c>
      <c r="J31" s="70">
        <f t="shared" si="10"/>
        <v>0.31860013972530571</v>
      </c>
      <c r="K31" s="70">
        <f t="shared" si="10"/>
        <v>0.25465685058710852</v>
      </c>
      <c r="L31" s="70">
        <f t="shared" si="10"/>
        <v>0.2077965494617581</v>
      </c>
      <c r="M31" s="70">
        <f t="shared" si="10"/>
        <v>0.17249323348785478</v>
      </c>
      <c r="N31" s="70">
        <f t="shared" si="10"/>
        <v>0.17900260304604149</v>
      </c>
      <c r="O31" s="70">
        <f t="shared" si="10"/>
        <v>0.15289752044585808</v>
      </c>
      <c r="P31" s="70">
        <f t="shared" si="10"/>
        <v>0.13203497135017095</v>
      </c>
      <c r="Q31" s="70">
        <f t="shared" si="10"/>
        <v>0.11515005703099671</v>
      </c>
      <c r="R31" s="70">
        <f t="shared" si="10"/>
        <v>0.10131949674661975</v>
      </c>
      <c r="S31" s="70">
        <f t="shared" si="10"/>
        <v>8.9863331687170117E-2</v>
      </c>
      <c r="T31" s="70">
        <f t="shared" si="10"/>
        <v>8.0275311497041216E-2</v>
      </c>
      <c r="U31" s="70">
        <f t="shared" si="10"/>
        <v>7.217410489024495E-2</v>
      </c>
      <c r="V31" s="70">
        <f t="shared" si="10"/>
        <v>6.5269094178757606E-2</v>
      </c>
      <c r="W31" s="70">
        <f t="shared" si="10"/>
        <v>5.9336254689066899E-2</v>
      </c>
      <c r="X31" s="70">
        <f t="shared" si="10"/>
        <v>5.4200998180162184E-2</v>
      </c>
      <c r="Y31" s="70">
        <f t="shared" si="10"/>
        <v>4.9725846679378141E-2</v>
      </c>
      <c r="Z31" s="70">
        <f>AVERAGE(B31:M31)</f>
        <v>1.3163620939305596</v>
      </c>
      <c r="AA31" s="70">
        <f>AVERAGE(N31:Y31)</f>
        <v>9.5937465868459013E-2</v>
      </c>
      <c r="AB31" s="35"/>
      <c r="AC31" s="35"/>
    </row>
    <row r="32" spans="1:29" ht="16" x14ac:dyDescent="0.2">
      <c r="A32" s="35" t="s">
        <v>183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74">
        <f t="array" ref="Z32">IF(COUNTIF(B20:Y20,"&gt;=0")=0,"Нет в горизонте",COUNTIF(B20:Y20,"&lt;0")+1)</f>
        <v>6</v>
      </c>
      <c r="AA32" s="74">
        <f>Z32</f>
        <v>6</v>
      </c>
      <c r="AB32" s="35"/>
      <c r="AC32" s="35"/>
    </row>
    <row r="33" spans="1:29" ht="15" x14ac:dyDescent="0.2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</row>
    <row r="34" spans="1:29" ht="15" x14ac:dyDescent="0.2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</row>
    <row r="35" spans="1:29" ht="15" x14ac:dyDescent="0.2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</row>
    <row r="36" spans="1:29" ht="15" x14ac:dyDescent="0.2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</row>
    <row r="37" spans="1:29" ht="15" x14ac:dyDescent="0.2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</row>
    <row r="38" spans="1:29" ht="15" x14ac:dyDescent="0.2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</row>
    <row r="39" spans="1:29" ht="15" x14ac:dyDescent="0.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</row>
    <row r="40" spans="1:29" ht="15" x14ac:dyDescent="0.2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</row>
    <row r="41" spans="1:29" ht="15" x14ac:dyDescent="0.2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</row>
    <row r="42" spans="1:29" ht="15" x14ac:dyDescent="0.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</row>
    <row r="43" spans="1:29" ht="15" x14ac:dyDescent="0.2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</row>
    <row r="44" spans="1:29" ht="15" x14ac:dyDescent="0.2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</row>
    <row r="45" spans="1:29" ht="15" x14ac:dyDescent="0.2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</row>
    <row r="46" spans="1:29" ht="15" x14ac:dyDescent="0.2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C46" s="35"/>
    </row>
    <row r="47" spans="1:29" ht="15" x14ac:dyDescent="0.2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</row>
    <row r="48" spans="1:29" ht="15" x14ac:dyDescent="0.2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</row>
    <row r="49" spans="1:29" ht="15" x14ac:dyDescent="0.2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</row>
    <row r="50" spans="1:29" ht="15" x14ac:dyDescent="0.2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</row>
    <row r="51" spans="1:29" ht="15" x14ac:dyDescent="0.2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</row>
    <row r="52" spans="1:29" ht="15" x14ac:dyDescent="0.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</row>
    <row r="53" spans="1:29" ht="15" x14ac:dyDescent="0.2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</row>
    <row r="54" spans="1:29" ht="15" x14ac:dyDescent="0.2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</row>
    <row r="55" spans="1:29" ht="15" x14ac:dyDescent="0.2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55"/>
  <sheetViews>
    <sheetView topLeftCell="B18" zoomScale="86" workbookViewId="0">
      <selection activeCell="U68" sqref="U68"/>
    </sheetView>
  </sheetViews>
  <sheetFormatPr baseColWidth="10" defaultColWidth="8.83203125" defaultRowHeight="13" x14ac:dyDescent="0.15"/>
  <cols>
    <col min="1" max="1" width="37.1640625" customWidth="1"/>
    <col min="2" max="2" width="15.83203125" customWidth="1"/>
    <col min="3" max="9" width="13" customWidth="1"/>
    <col min="10" max="11" width="12" customWidth="1"/>
    <col min="12" max="12" width="10.83203125" customWidth="1"/>
    <col min="13" max="17" width="11.83203125" customWidth="1"/>
    <col min="18" max="25" width="12.83203125" customWidth="1"/>
    <col min="26" max="26" width="12" customWidth="1"/>
    <col min="27" max="27" width="12.83203125" customWidth="1"/>
    <col min="28" max="28" width="37.33203125" customWidth="1"/>
    <col min="29" max="29" width="15.33203125" customWidth="1"/>
  </cols>
  <sheetData>
    <row r="1" spans="1:29" ht="25" customHeight="1" x14ac:dyDescent="0.15">
      <c r="A1" s="32" t="s">
        <v>184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4"/>
      <c r="AC1" s="4"/>
    </row>
    <row r="2" spans="1:29" ht="20" customHeight="1" x14ac:dyDescent="0.2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4"/>
      <c r="AC2" s="34"/>
    </row>
    <row r="3" spans="1:29" ht="18" customHeight="1" x14ac:dyDescent="0.2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</row>
    <row r="4" spans="1:29" ht="21" customHeight="1" x14ac:dyDescent="0.15">
      <c r="A4" s="1" t="s">
        <v>28</v>
      </c>
      <c r="B4" s="37" t="s">
        <v>52</v>
      </c>
      <c r="C4" s="37" t="s">
        <v>53</v>
      </c>
      <c r="D4" s="37" t="s">
        <v>54</v>
      </c>
      <c r="E4" s="37" t="s">
        <v>55</v>
      </c>
      <c r="F4" s="37" t="s">
        <v>56</v>
      </c>
      <c r="G4" s="37" t="s">
        <v>57</v>
      </c>
      <c r="H4" s="37" t="s">
        <v>58</v>
      </c>
      <c r="I4" s="37" t="s">
        <v>59</v>
      </c>
      <c r="J4" s="37" t="s">
        <v>60</v>
      </c>
      <c r="K4" s="37" t="s">
        <v>61</v>
      </c>
      <c r="L4" s="37" t="s">
        <v>62</v>
      </c>
      <c r="M4" s="37" t="s">
        <v>63</v>
      </c>
      <c r="N4" s="37" t="s">
        <v>64</v>
      </c>
      <c r="O4" s="37" t="s">
        <v>65</v>
      </c>
      <c r="P4" s="37" t="s">
        <v>66</v>
      </c>
      <c r="Q4" s="37" t="s">
        <v>67</v>
      </c>
      <c r="R4" s="37" t="s">
        <v>68</v>
      </c>
      <c r="S4" s="37" t="s">
        <v>69</v>
      </c>
      <c r="T4" s="37" t="s">
        <v>70</v>
      </c>
      <c r="U4" s="37" t="s">
        <v>71</v>
      </c>
      <c r="V4" s="37" t="s">
        <v>72</v>
      </c>
      <c r="W4" s="37" t="s">
        <v>73</v>
      </c>
      <c r="X4" s="37" t="s">
        <v>74</v>
      </c>
      <c r="Y4" s="37" t="s">
        <v>75</v>
      </c>
      <c r="Z4" s="37" t="s">
        <v>76</v>
      </c>
      <c r="AA4" s="37" t="s">
        <v>77</v>
      </c>
      <c r="AB4" s="38"/>
      <c r="AC4" s="38"/>
    </row>
    <row r="5" spans="1:29" ht="18" customHeight="1" x14ac:dyDescent="0.2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</row>
    <row r="6" spans="1:29" ht="20" customHeight="1" x14ac:dyDescent="0.2">
      <c r="A6" s="41" t="s">
        <v>185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2"/>
      <c r="AC6" s="42"/>
    </row>
    <row r="7" spans="1:29" ht="20" customHeight="1" x14ac:dyDescent="0.2">
      <c r="A7" s="35" t="s">
        <v>175</v>
      </c>
      <c r="B7" s="51">
        <f>'P&amp;L'!B23</f>
        <v>-2336126.6118440698</v>
      </c>
      <c r="C7" s="51">
        <f>'P&amp;L'!C23</f>
        <v>-2074350.6188493904</v>
      </c>
      <c r="D7" s="51">
        <f>'P&amp;L'!D23</f>
        <v>-1798804.6130657911</v>
      </c>
      <c r="E7" s="51">
        <f>'P&amp;L'!E23</f>
        <v>-1282873.9919200398</v>
      </c>
      <c r="F7" s="51">
        <f>'P&amp;L'!F23</f>
        <v>-527531.48455804237</v>
      </c>
      <c r="G7" s="51">
        <f>'P&amp;L'!G23</f>
        <v>467040.13995744305</v>
      </c>
      <c r="H7" s="51">
        <f>'P&amp;L'!H23</f>
        <v>1101450.8622288036</v>
      </c>
      <c r="I7" s="51">
        <f>'P&amp;L'!I23</f>
        <v>2577108.6674022786</v>
      </c>
      <c r="J7" s="51">
        <f>'P&amp;L'!J23</f>
        <v>4296227.2921027038</v>
      </c>
      <c r="K7" s="51">
        <f>'P&amp;L'!K23</f>
        <v>6261836.4981338149</v>
      </c>
      <c r="L7" s="51">
        <f>'P&amp;L'!L23</f>
        <v>8477794.9157261364</v>
      </c>
      <c r="M7" s="51">
        <f>'P&amp;L'!M23</f>
        <v>10948805.507335752</v>
      </c>
      <c r="N7" s="51">
        <f>'P&amp;L'!N23</f>
        <v>9974850.9319261219</v>
      </c>
      <c r="O7" s="51">
        <f>'P&amp;L'!O23</f>
        <v>12959237.266845284</v>
      </c>
      <c r="P7" s="51">
        <f>'P&amp;L'!P23</f>
        <v>16200094.668644231</v>
      </c>
      <c r="Q7" s="51">
        <f>'P&amp;L'!Q23</f>
        <v>19689338.476441097</v>
      </c>
      <c r="R7" s="51">
        <f>'P&amp;L'!R23</f>
        <v>23419507.300419722</v>
      </c>
      <c r="S7" s="51">
        <f>'P&amp;L'!S23</f>
        <v>27383735.083867967</v>
      </c>
      <c r="T7" s="51">
        <f>'P&amp;L'!T23</f>
        <v>31575724.719472319</v>
      </c>
      <c r="U7" s="51">
        <f>'P&amp;L'!U23</f>
        <v>35989723.141829737</v>
      </c>
      <c r="V7" s="51">
        <f>'P&amp;L'!V23</f>
        <v>40620497.822337888</v>
      </c>
      <c r="W7" s="51">
        <f>'P&amp;L'!W23</f>
        <v>45463314.596598044</v>
      </c>
      <c r="X7" s="51">
        <f>'P&amp;L'!X23</f>
        <v>50513916.758224986</v>
      </c>
      <c r="Y7" s="51">
        <f>'P&amp;L'!Y23</f>
        <v>55768505.356516995</v>
      </c>
      <c r="Z7" s="51">
        <f>SUM(B7:M7)</f>
        <v>26110576.5626496</v>
      </c>
      <c r="AA7" s="51">
        <f>SUM(N7:Y7)</f>
        <v>369558446.12312442</v>
      </c>
      <c r="AB7" s="35"/>
      <c r="AC7" s="35"/>
    </row>
    <row r="8" spans="1:29" ht="20" customHeight="1" x14ac:dyDescent="0.2">
      <c r="A8" s="35" t="s">
        <v>186</v>
      </c>
      <c r="B8" s="51">
        <f>'P&amp;L'!B24</f>
        <v>0</v>
      </c>
      <c r="C8" s="51">
        <f>'P&amp;L'!C24</f>
        <v>0</v>
      </c>
      <c r="D8" s="51">
        <f>'P&amp;L'!D24</f>
        <v>0</v>
      </c>
      <c r="E8" s="51">
        <f>'P&amp;L'!E24</f>
        <v>0</v>
      </c>
      <c r="F8" s="51">
        <f>'P&amp;L'!F24</f>
        <v>0</v>
      </c>
      <c r="G8" s="51">
        <f>'P&amp;L'!G24</f>
        <v>93408.02799148862</v>
      </c>
      <c r="H8" s="51">
        <f>'P&amp;L'!H24</f>
        <v>220290.17244576072</v>
      </c>
      <c r="I8" s="51">
        <f>'P&amp;L'!I24</f>
        <v>515421.73348045576</v>
      </c>
      <c r="J8" s="51">
        <f>'P&amp;L'!J24</f>
        <v>859245.45842054079</v>
      </c>
      <c r="K8" s="51">
        <f>'P&amp;L'!K24</f>
        <v>1252367.299626763</v>
      </c>
      <c r="L8" s="51">
        <f>'P&amp;L'!L24</f>
        <v>1695558.9831452274</v>
      </c>
      <c r="M8" s="51">
        <f>'P&amp;L'!M24</f>
        <v>2189761.1014671507</v>
      </c>
      <c r="N8" s="51">
        <f>'P&amp;L'!N24</f>
        <v>1994970.1863852246</v>
      </c>
      <c r="O8" s="51">
        <f>'P&amp;L'!O24</f>
        <v>2591847.4533690568</v>
      </c>
      <c r="P8" s="51">
        <f>'P&amp;L'!P24</f>
        <v>3240018.9337288463</v>
      </c>
      <c r="Q8" s="51">
        <f>'P&amp;L'!Q24</f>
        <v>3937867.6952882195</v>
      </c>
      <c r="R8" s="51">
        <f>'P&amp;L'!R24</f>
        <v>4683901.4600839447</v>
      </c>
      <c r="S8" s="51">
        <f>'P&amp;L'!S24</f>
        <v>5476747.0167735936</v>
      </c>
      <c r="T8" s="51">
        <f>'P&amp;L'!T24</f>
        <v>6315144.9438944645</v>
      </c>
      <c r="U8" s="51">
        <f>'P&amp;L'!U24</f>
        <v>7197944.6283659479</v>
      </c>
      <c r="V8" s="51">
        <f>'P&amp;L'!V24</f>
        <v>8124099.5644675782</v>
      </c>
      <c r="W8" s="51">
        <f>'P&amp;L'!W24</f>
        <v>9092662.9193196092</v>
      </c>
      <c r="X8" s="51">
        <f>'P&amp;L'!X24</f>
        <v>10102783.351644998</v>
      </c>
      <c r="Y8" s="51">
        <f>'P&amp;L'!Y24</f>
        <v>11153701.071303399</v>
      </c>
      <c r="Z8" s="51">
        <f>SUM(B8:M8)</f>
        <v>6826052.776577387</v>
      </c>
      <c r="AA8" s="51">
        <f>SUM(N8:Y8)</f>
        <v>73911689.224624887</v>
      </c>
      <c r="AB8" s="35"/>
      <c r="AC8" s="35"/>
    </row>
    <row r="9" spans="1:29" ht="20" customHeight="1" x14ac:dyDescent="0.2">
      <c r="A9" s="35" t="s">
        <v>187</v>
      </c>
      <c r="B9" s="72">
        <f t="shared" ref="B9:Y9" si="0">B7-B8</f>
        <v>-2336126.6118440698</v>
      </c>
      <c r="C9" s="72">
        <f t="shared" si="0"/>
        <v>-2074350.6188493904</v>
      </c>
      <c r="D9" s="72">
        <f t="shared" si="0"/>
        <v>-1798804.6130657911</v>
      </c>
      <c r="E9" s="72">
        <f t="shared" si="0"/>
        <v>-1282873.9919200398</v>
      </c>
      <c r="F9" s="72">
        <f t="shared" si="0"/>
        <v>-527531.48455804237</v>
      </c>
      <c r="G9" s="72">
        <f t="shared" si="0"/>
        <v>373632.11196595442</v>
      </c>
      <c r="H9" s="72">
        <f t="shared" si="0"/>
        <v>881160.68978304288</v>
      </c>
      <c r="I9" s="72">
        <f t="shared" si="0"/>
        <v>2061686.9339218228</v>
      </c>
      <c r="J9" s="72">
        <f t="shared" si="0"/>
        <v>3436981.8336821632</v>
      </c>
      <c r="K9" s="72">
        <f t="shared" si="0"/>
        <v>5009469.1985070519</v>
      </c>
      <c r="L9" s="72">
        <f t="shared" si="0"/>
        <v>6782235.9325809088</v>
      </c>
      <c r="M9" s="72">
        <f t="shared" si="0"/>
        <v>8759044.4058686011</v>
      </c>
      <c r="N9" s="72">
        <f t="shared" si="0"/>
        <v>7979880.7455408974</v>
      </c>
      <c r="O9" s="72">
        <f t="shared" si="0"/>
        <v>10367389.813476227</v>
      </c>
      <c r="P9" s="72">
        <f t="shared" si="0"/>
        <v>12960075.734915385</v>
      </c>
      <c r="Q9" s="72">
        <f t="shared" si="0"/>
        <v>15751470.781152878</v>
      </c>
      <c r="R9" s="72">
        <f t="shared" si="0"/>
        <v>18735605.840335779</v>
      </c>
      <c r="S9" s="72">
        <f t="shared" si="0"/>
        <v>21906988.067094374</v>
      </c>
      <c r="T9" s="72">
        <f t="shared" si="0"/>
        <v>25260579.775577854</v>
      </c>
      <c r="U9" s="72">
        <f t="shared" si="0"/>
        <v>28791778.513463788</v>
      </c>
      <c r="V9" s="72">
        <f t="shared" si="0"/>
        <v>32496398.257870309</v>
      </c>
      <c r="W9" s="72">
        <f t="shared" si="0"/>
        <v>36370651.677278437</v>
      </c>
      <c r="X9" s="72">
        <f t="shared" si="0"/>
        <v>40411133.406579986</v>
      </c>
      <c r="Y9" s="72">
        <f t="shared" si="0"/>
        <v>44614804.285213597</v>
      </c>
      <c r="Z9" s="72">
        <f>SUM(B9:M9)</f>
        <v>19284523.786072209</v>
      </c>
      <c r="AA9" s="72">
        <f>SUM(N9:Y9)</f>
        <v>295646756.89849949</v>
      </c>
      <c r="AB9" s="35"/>
      <c r="AC9" s="35"/>
    </row>
    <row r="10" spans="1:29" ht="20" customHeight="1" x14ac:dyDescent="0.2">
      <c r="A10" s="35" t="s">
        <v>188</v>
      </c>
      <c r="B10" s="51">
        <f>'P&amp;L'!B22</f>
        <v>333333.33333333331</v>
      </c>
      <c r="C10" s="51">
        <f>'P&amp;L'!C22</f>
        <v>333333.33333333331</v>
      </c>
      <c r="D10" s="51">
        <f>'P&amp;L'!D22</f>
        <v>333333.33333333331</v>
      </c>
      <c r="E10" s="51">
        <f>'P&amp;L'!E22</f>
        <v>333333.33333333331</v>
      </c>
      <c r="F10" s="51">
        <f>'P&amp;L'!F22</f>
        <v>333333.33333333331</v>
      </c>
      <c r="G10" s="51">
        <f>'P&amp;L'!G22</f>
        <v>333333.33333333331</v>
      </c>
      <c r="H10" s="51">
        <f>'P&amp;L'!H22</f>
        <v>333333.33333333331</v>
      </c>
      <c r="I10" s="51">
        <f>'P&amp;L'!I22</f>
        <v>333333.33333333331</v>
      </c>
      <c r="J10" s="51">
        <f>'P&amp;L'!J22</f>
        <v>333333.33333333331</v>
      </c>
      <c r="K10" s="51">
        <f>'P&amp;L'!K22</f>
        <v>333333.33333333331</v>
      </c>
      <c r="L10" s="51">
        <f>'P&amp;L'!L22</f>
        <v>333333.33333333331</v>
      </c>
      <c r="M10" s="51">
        <f>'P&amp;L'!M22</f>
        <v>333333.33333333331</v>
      </c>
      <c r="N10" s="51">
        <f>'P&amp;L'!N22</f>
        <v>333333.33333333331</v>
      </c>
      <c r="O10" s="51">
        <f>'P&amp;L'!O22</f>
        <v>333333.33333333331</v>
      </c>
      <c r="P10" s="51">
        <f>'P&amp;L'!P22</f>
        <v>333333.33333333331</v>
      </c>
      <c r="Q10" s="51">
        <f>'P&amp;L'!Q22</f>
        <v>333333.33333333331</v>
      </c>
      <c r="R10" s="51">
        <f>'P&amp;L'!R22</f>
        <v>333333.33333333331</v>
      </c>
      <c r="S10" s="51">
        <f>'P&amp;L'!S22</f>
        <v>333333.33333333331</v>
      </c>
      <c r="T10" s="51">
        <f>'P&amp;L'!T22</f>
        <v>333333.33333333331</v>
      </c>
      <c r="U10" s="51">
        <f>'P&amp;L'!U22</f>
        <v>333333.33333333331</v>
      </c>
      <c r="V10" s="51">
        <f>'P&amp;L'!V22</f>
        <v>333333.33333333331</v>
      </c>
      <c r="W10" s="51">
        <f>'P&amp;L'!W22</f>
        <v>333333.33333333331</v>
      </c>
      <c r="X10" s="51">
        <f>'P&amp;L'!X22</f>
        <v>333333.33333333331</v>
      </c>
      <c r="Y10" s="51">
        <f>'P&amp;L'!Y22</f>
        <v>333333.33333333331</v>
      </c>
      <c r="Z10" s="51">
        <f>SUM(B10:M10)</f>
        <v>4000000.0000000005</v>
      </c>
      <c r="AA10" s="51">
        <f>SUM(N10:Y10)</f>
        <v>4000000.0000000005</v>
      </c>
      <c r="AB10" s="35"/>
      <c r="AC10" s="35"/>
    </row>
    <row r="11" spans="1:29" ht="21" customHeight="1" x14ac:dyDescent="0.2">
      <c r="A11" s="63" t="s">
        <v>189</v>
      </c>
      <c r="B11" s="64">
        <f t="shared" ref="B11:Y11" si="1">B9+B10</f>
        <v>-2002793.2785107365</v>
      </c>
      <c r="C11" s="64">
        <f t="shared" si="1"/>
        <v>-1741017.2855160572</v>
      </c>
      <c r="D11" s="64">
        <f t="shared" si="1"/>
        <v>-1465471.2797324578</v>
      </c>
      <c r="E11" s="64">
        <f t="shared" si="1"/>
        <v>-949540.6585867065</v>
      </c>
      <c r="F11" s="64">
        <f t="shared" si="1"/>
        <v>-194198.15122470906</v>
      </c>
      <c r="G11" s="64">
        <f t="shared" si="1"/>
        <v>706965.44529928779</v>
      </c>
      <c r="H11" s="64">
        <f t="shared" si="1"/>
        <v>1214494.0231163763</v>
      </c>
      <c r="I11" s="64">
        <f t="shared" si="1"/>
        <v>2395020.2672551563</v>
      </c>
      <c r="J11" s="64">
        <f t="shared" si="1"/>
        <v>3770315.1670154966</v>
      </c>
      <c r="K11" s="64">
        <f t="shared" si="1"/>
        <v>5342802.5318403849</v>
      </c>
      <c r="L11" s="64">
        <f t="shared" si="1"/>
        <v>7115569.2659142418</v>
      </c>
      <c r="M11" s="64">
        <f t="shared" si="1"/>
        <v>9092377.739201935</v>
      </c>
      <c r="N11" s="64">
        <f t="shared" si="1"/>
        <v>8313214.0788742304</v>
      </c>
      <c r="O11" s="64">
        <f t="shared" si="1"/>
        <v>10700723.146809561</v>
      </c>
      <c r="P11" s="64">
        <f t="shared" si="1"/>
        <v>13293409.068248719</v>
      </c>
      <c r="Q11" s="64">
        <f t="shared" si="1"/>
        <v>16084804.114486212</v>
      </c>
      <c r="R11" s="64">
        <f t="shared" si="1"/>
        <v>19068939.173669111</v>
      </c>
      <c r="S11" s="64">
        <f t="shared" si="1"/>
        <v>22240321.400427707</v>
      </c>
      <c r="T11" s="64">
        <f t="shared" si="1"/>
        <v>25593913.108911186</v>
      </c>
      <c r="U11" s="64">
        <f t="shared" si="1"/>
        <v>29125111.84679712</v>
      </c>
      <c r="V11" s="64">
        <f t="shared" si="1"/>
        <v>32829731.591203641</v>
      </c>
      <c r="W11" s="64">
        <f t="shared" si="1"/>
        <v>36703985.010611773</v>
      </c>
      <c r="X11" s="64">
        <f t="shared" si="1"/>
        <v>40744466.739913322</v>
      </c>
      <c r="Y11" s="64">
        <f t="shared" si="1"/>
        <v>44948137.618546933</v>
      </c>
      <c r="Z11" s="64">
        <f>SUM(B11:M11)</f>
        <v>23284523.786072209</v>
      </c>
      <c r="AA11" s="64">
        <f>SUM(N11:Y11)</f>
        <v>299646756.89849949</v>
      </c>
      <c r="AB11" s="35"/>
      <c r="AC11" s="35"/>
    </row>
    <row r="12" spans="1:29" ht="18" customHeight="1" x14ac:dyDescent="0.2">
      <c r="A12" s="35"/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35"/>
      <c r="AC12" s="35"/>
    </row>
    <row r="13" spans="1:29" ht="20" customHeight="1" x14ac:dyDescent="0.2">
      <c r="A13" s="41" t="s">
        <v>190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2"/>
      <c r="AC13" s="42"/>
    </row>
    <row r="14" spans="1:29" ht="20" customHeight="1" x14ac:dyDescent="0.2">
      <c r="A14" s="35" t="s">
        <v>191</v>
      </c>
      <c r="B14" s="51">
        <f>-Costs!B14</f>
        <v>-6000000</v>
      </c>
      <c r="C14" s="51">
        <f>-Costs!C14</f>
        <v>0</v>
      </c>
      <c r="D14" s="51">
        <f>-Costs!D14</f>
        <v>0</v>
      </c>
      <c r="E14" s="51">
        <f>-Costs!E14</f>
        <v>0</v>
      </c>
      <c r="F14" s="51">
        <f>-Costs!F14</f>
        <v>0</v>
      </c>
      <c r="G14" s="51">
        <f>-Costs!G14</f>
        <v>0</v>
      </c>
      <c r="H14" s="51">
        <f>-Costs!H14</f>
        <v>0</v>
      </c>
      <c r="I14" s="51">
        <f>-Costs!I14</f>
        <v>0</v>
      </c>
      <c r="J14" s="51">
        <f>-Costs!J14</f>
        <v>0</v>
      </c>
      <c r="K14" s="51">
        <f>-Costs!K14</f>
        <v>0</v>
      </c>
      <c r="L14" s="51">
        <f>-Costs!L14</f>
        <v>0</v>
      </c>
      <c r="M14" s="51">
        <f>-Costs!M14</f>
        <v>0</v>
      </c>
      <c r="N14" s="51">
        <f>-Costs!N14</f>
        <v>0</v>
      </c>
      <c r="O14" s="51">
        <f>-Costs!O14</f>
        <v>0</v>
      </c>
      <c r="P14" s="51">
        <f>-Costs!P14</f>
        <v>0</v>
      </c>
      <c r="Q14" s="51">
        <f>-Costs!Q14</f>
        <v>0</v>
      </c>
      <c r="R14" s="51">
        <f>-Costs!R14</f>
        <v>0</v>
      </c>
      <c r="S14" s="51">
        <f>-Costs!S14</f>
        <v>0</v>
      </c>
      <c r="T14" s="51">
        <f>-Costs!T14</f>
        <v>0</v>
      </c>
      <c r="U14" s="51">
        <f>-Costs!U14</f>
        <v>0</v>
      </c>
      <c r="V14" s="51">
        <f>-Costs!V14</f>
        <v>0</v>
      </c>
      <c r="W14" s="51">
        <f>-Costs!W14</f>
        <v>0</v>
      </c>
      <c r="X14" s="51">
        <f>-Costs!X14</f>
        <v>0</v>
      </c>
      <c r="Y14" s="51">
        <f>-Costs!Y14</f>
        <v>0</v>
      </c>
      <c r="Z14" s="72">
        <f>SUM(B14:M14)</f>
        <v>-6000000</v>
      </c>
      <c r="AA14" s="72">
        <f>SUM(N14:Y14)</f>
        <v>0</v>
      </c>
      <c r="AB14" s="35"/>
      <c r="AC14" s="35"/>
    </row>
    <row r="15" spans="1:29" ht="40" customHeight="1" x14ac:dyDescent="0.2">
      <c r="A15" s="35" t="s">
        <v>192</v>
      </c>
      <c r="B15" s="51">
        <f>0</f>
        <v>0</v>
      </c>
      <c r="C15" s="51">
        <f>0</f>
        <v>0</v>
      </c>
      <c r="D15" s="51">
        <f>0</f>
        <v>0</v>
      </c>
      <c r="E15" s="51">
        <f>0</f>
        <v>0</v>
      </c>
      <c r="F15" s="51">
        <f>0</f>
        <v>0</v>
      </c>
      <c r="G15" s="51">
        <f>0</f>
        <v>0</v>
      </c>
      <c r="H15" s="51">
        <f>0</f>
        <v>0</v>
      </c>
      <c r="I15" s="51">
        <f>0</f>
        <v>0</v>
      </c>
      <c r="J15" s="51">
        <f>0</f>
        <v>0</v>
      </c>
      <c r="K15" s="51">
        <f>0</f>
        <v>0</v>
      </c>
      <c r="L15" s="51">
        <f>0</f>
        <v>0</v>
      </c>
      <c r="M15" s="51">
        <f>0</f>
        <v>0</v>
      </c>
      <c r="N15" s="51">
        <f>0</f>
        <v>0</v>
      </c>
      <c r="O15" s="51">
        <f>0</f>
        <v>0</v>
      </c>
      <c r="P15" s="51">
        <f>0</f>
        <v>0</v>
      </c>
      <c r="Q15" s="51">
        <f>0</f>
        <v>0</v>
      </c>
      <c r="R15" s="51">
        <f>0</f>
        <v>0</v>
      </c>
      <c r="S15" s="51">
        <f>0</f>
        <v>0</v>
      </c>
      <c r="T15" s="51">
        <f>0</f>
        <v>0</v>
      </c>
      <c r="U15" s="51">
        <f>0</f>
        <v>0</v>
      </c>
      <c r="V15" s="51">
        <f>0</f>
        <v>0</v>
      </c>
      <c r="W15" s="51">
        <f>0</f>
        <v>0</v>
      </c>
      <c r="X15" s="51">
        <f>0</f>
        <v>0</v>
      </c>
      <c r="Y15" s="51">
        <f>0</f>
        <v>0</v>
      </c>
      <c r="Z15" s="72">
        <f>SUM(B15:M15)</f>
        <v>0</v>
      </c>
      <c r="AA15" s="72">
        <f>SUM(N15:Y15)</f>
        <v>0</v>
      </c>
      <c r="AB15" s="35"/>
      <c r="AC15" s="35"/>
    </row>
    <row r="16" spans="1:29" ht="21" customHeight="1" x14ac:dyDescent="0.2">
      <c r="A16" s="35" t="s">
        <v>193</v>
      </c>
      <c r="B16" s="51">
        <f>-Costs!B26</f>
        <v>-2000000</v>
      </c>
      <c r="C16" s="51">
        <f>-Costs!C26</f>
        <v>0</v>
      </c>
      <c r="D16" s="51">
        <f>-Costs!D26</f>
        <v>0</v>
      </c>
      <c r="E16" s="51">
        <f>-Costs!E26</f>
        <v>0</v>
      </c>
      <c r="F16" s="51">
        <f>-Costs!F26</f>
        <v>0</v>
      </c>
      <c r="G16" s="51">
        <f>-Costs!G26</f>
        <v>0</v>
      </c>
      <c r="H16" s="51">
        <f>-Costs!H26</f>
        <v>0</v>
      </c>
      <c r="I16" s="51">
        <f>-Costs!I26</f>
        <v>0</v>
      </c>
      <c r="J16" s="51">
        <f>-Costs!J26</f>
        <v>0</v>
      </c>
      <c r="K16" s="51">
        <f>-Costs!K26</f>
        <v>0</v>
      </c>
      <c r="L16" s="51">
        <f>-Costs!L26</f>
        <v>0</v>
      </c>
      <c r="M16" s="51">
        <f>-Costs!M26</f>
        <v>0</v>
      </c>
      <c r="N16" s="51">
        <f>-Costs!N26</f>
        <v>0</v>
      </c>
      <c r="O16" s="51">
        <f>-Costs!O26</f>
        <v>0</v>
      </c>
      <c r="P16" s="51">
        <f>-Costs!P26</f>
        <v>0</v>
      </c>
      <c r="Q16" s="51">
        <f>-Costs!Q26</f>
        <v>0</v>
      </c>
      <c r="R16" s="51">
        <f>-Costs!R26</f>
        <v>0</v>
      </c>
      <c r="S16" s="51">
        <f>-Costs!S26</f>
        <v>0</v>
      </c>
      <c r="T16" s="51">
        <f>-Costs!T26</f>
        <v>0</v>
      </c>
      <c r="U16" s="51">
        <f>-Costs!U26</f>
        <v>0</v>
      </c>
      <c r="V16" s="51">
        <f>-Costs!V26</f>
        <v>0</v>
      </c>
      <c r="W16" s="51">
        <f>-Costs!W26</f>
        <v>0</v>
      </c>
      <c r="X16" s="51">
        <f>-Costs!X26</f>
        <v>0</v>
      </c>
      <c r="Y16" s="51">
        <f>-Costs!Y26</f>
        <v>0</v>
      </c>
      <c r="Z16" s="72">
        <f>SUM(B16:M16)</f>
        <v>-2000000</v>
      </c>
      <c r="AA16" s="72">
        <f>SUM(N16:Y16)</f>
        <v>0</v>
      </c>
      <c r="AB16" s="35"/>
      <c r="AC16" s="35"/>
    </row>
    <row r="17" spans="1:29" ht="18" customHeight="1" x14ac:dyDescent="0.2">
      <c r="A17" s="63" t="s">
        <v>194</v>
      </c>
      <c r="B17" s="64">
        <f t="shared" ref="B17:Y17" si="2">SUM(B14:B16)</f>
        <v>-8000000</v>
      </c>
      <c r="C17" s="64">
        <f t="shared" si="2"/>
        <v>0</v>
      </c>
      <c r="D17" s="64">
        <f t="shared" si="2"/>
        <v>0</v>
      </c>
      <c r="E17" s="64">
        <f t="shared" si="2"/>
        <v>0</v>
      </c>
      <c r="F17" s="64">
        <f t="shared" si="2"/>
        <v>0</v>
      </c>
      <c r="G17" s="64">
        <f t="shared" si="2"/>
        <v>0</v>
      </c>
      <c r="H17" s="64">
        <f t="shared" si="2"/>
        <v>0</v>
      </c>
      <c r="I17" s="64">
        <f t="shared" si="2"/>
        <v>0</v>
      </c>
      <c r="J17" s="64">
        <f t="shared" si="2"/>
        <v>0</v>
      </c>
      <c r="K17" s="64">
        <f t="shared" si="2"/>
        <v>0</v>
      </c>
      <c r="L17" s="64">
        <f t="shared" si="2"/>
        <v>0</v>
      </c>
      <c r="M17" s="64">
        <f t="shared" si="2"/>
        <v>0</v>
      </c>
      <c r="N17" s="64">
        <f t="shared" si="2"/>
        <v>0</v>
      </c>
      <c r="O17" s="64">
        <f t="shared" si="2"/>
        <v>0</v>
      </c>
      <c r="P17" s="64">
        <f t="shared" si="2"/>
        <v>0</v>
      </c>
      <c r="Q17" s="64">
        <f t="shared" si="2"/>
        <v>0</v>
      </c>
      <c r="R17" s="64">
        <f t="shared" si="2"/>
        <v>0</v>
      </c>
      <c r="S17" s="64">
        <f t="shared" si="2"/>
        <v>0</v>
      </c>
      <c r="T17" s="64">
        <f t="shared" si="2"/>
        <v>0</v>
      </c>
      <c r="U17" s="64">
        <f t="shared" si="2"/>
        <v>0</v>
      </c>
      <c r="V17" s="64">
        <f t="shared" si="2"/>
        <v>0</v>
      </c>
      <c r="W17" s="64">
        <f t="shared" si="2"/>
        <v>0</v>
      </c>
      <c r="X17" s="64">
        <f t="shared" si="2"/>
        <v>0</v>
      </c>
      <c r="Y17" s="64">
        <f t="shared" si="2"/>
        <v>0</v>
      </c>
      <c r="Z17" s="64">
        <f>SUM(B17:M17)</f>
        <v>-8000000</v>
      </c>
      <c r="AA17" s="64">
        <f>SUM(N17:Y17)</f>
        <v>0</v>
      </c>
      <c r="AB17" s="35"/>
      <c r="AC17" s="35"/>
    </row>
    <row r="18" spans="1:29" ht="20" customHeight="1" x14ac:dyDescent="0.2">
      <c r="A18" s="41" t="s">
        <v>195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2"/>
      <c r="AC18" s="42"/>
    </row>
    <row r="19" spans="1:29" ht="21" customHeight="1" x14ac:dyDescent="0.2">
      <c r="A19" s="53" t="s">
        <v>196</v>
      </c>
      <c r="B19" s="75">
        <f t="shared" ref="B19:Y19" si="3">B11+B17</f>
        <v>-10002793.278510736</v>
      </c>
      <c r="C19" s="75">
        <f t="shared" si="3"/>
        <v>-1741017.2855160572</v>
      </c>
      <c r="D19" s="75">
        <f t="shared" si="3"/>
        <v>-1465471.2797324578</v>
      </c>
      <c r="E19" s="75">
        <f t="shared" si="3"/>
        <v>-949540.6585867065</v>
      </c>
      <c r="F19" s="75">
        <f t="shared" si="3"/>
        <v>-194198.15122470906</v>
      </c>
      <c r="G19" s="75">
        <f t="shared" si="3"/>
        <v>706965.44529928779</v>
      </c>
      <c r="H19" s="75">
        <f t="shared" si="3"/>
        <v>1214494.0231163763</v>
      </c>
      <c r="I19" s="75">
        <f t="shared" si="3"/>
        <v>2395020.2672551563</v>
      </c>
      <c r="J19" s="75">
        <f t="shared" si="3"/>
        <v>3770315.1670154966</v>
      </c>
      <c r="K19" s="75">
        <f t="shared" si="3"/>
        <v>5342802.5318403849</v>
      </c>
      <c r="L19" s="75">
        <f t="shared" si="3"/>
        <v>7115569.2659142418</v>
      </c>
      <c r="M19" s="75">
        <f t="shared" si="3"/>
        <v>9092377.739201935</v>
      </c>
      <c r="N19" s="75">
        <f t="shared" si="3"/>
        <v>8313214.0788742304</v>
      </c>
      <c r="O19" s="75">
        <f t="shared" si="3"/>
        <v>10700723.146809561</v>
      </c>
      <c r="P19" s="75">
        <f t="shared" si="3"/>
        <v>13293409.068248719</v>
      </c>
      <c r="Q19" s="75">
        <f t="shared" si="3"/>
        <v>16084804.114486212</v>
      </c>
      <c r="R19" s="75">
        <f t="shared" si="3"/>
        <v>19068939.173669111</v>
      </c>
      <c r="S19" s="75">
        <f t="shared" si="3"/>
        <v>22240321.400427707</v>
      </c>
      <c r="T19" s="75">
        <f t="shared" si="3"/>
        <v>25593913.108911186</v>
      </c>
      <c r="U19" s="75">
        <f t="shared" si="3"/>
        <v>29125111.84679712</v>
      </c>
      <c r="V19" s="75">
        <f t="shared" si="3"/>
        <v>32829731.591203641</v>
      </c>
      <c r="W19" s="75">
        <f t="shared" si="3"/>
        <v>36703985.010611773</v>
      </c>
      <c r="X19" s="75">
        <f t="shared" si="3"/>
        <v>40744466.739913322</v>
      </c>
      <c r="Y19" s="75">
        <f t="shared" si="3"/>
        <v>44948137.618546933</v>
      </c>
      <c r="Z19" s="54">
        <f>SUM(B19:M19)</f>
        <v>15284523.786072211</v>
      </c>
      <c r="AA19" s="54">
        <f>SUM(N19:Y19)</f>
        <v>299646756.89849949</v>
      </c>
      <c r="AB19" s="35"/>
      <c r="AC19" s="35"/>
    </row>
    <row r="20" spans="1:29" ht="21" customHeight="1" x14ac:dyDescent="0.2">
      <c r="A20" s="53" t="s">
        <v>197</v>
      </c>
      <c r="B20" s="76">
        <f>B19</f>
        <v>-10002793.278510736</v>
      </c>
      <c r="C20" s="76">
        <f t="shared" ref="C20:Y20" si="4">B20+C19</f>
        <v>-11743810.564026793</v>
      </c>
      <c r="D20" s="76">
        <f t="shared" si="4"/>
        <v>-13209281.843759252</v>
      </c>
      <c r="E20" s="76">
        <f t="shared" si="4"/>
        <v>-14158822.502345959</v>
      </c>
      <c r="F20" s="76">
        <f t="shared" si="4"/>
        <v>-14353020.653570667</v>
      </c>
      <c r="G20" s="76">
        <f t="shared" si="4"/>
        <v>-13646055.208271379</v>
      </c>
      <c r="H20" s="76">
        <f t="shared" si="4"/>
        <v>-12431561.185155002</v>
      </c>
      <c r="I20" s="76">
        <f t="shared" si="4"/>
        <v>-10036540.917899847</v>
      </c>
      <c r="J20" s="76">
        <f t="shared" si="4"/>
        <v>-6266225.7508843504</v>
      </c>
      <c r="K20" s="76">
        <f t="shared" si="4"/>
        <v>-923423.21904396545</v>
      </c>
      <c r="L20" s="76">
        <f t="shared" si="4"/>
        <v>6192146.0468702763</v>
      </c>
      <c r="M20" s="76">
        <f t="shared" si="4"/>
        <v>15284523.786072211</v>
      </c>
      <c r="N20" s="76">
        <f t="shared" si="4"/>
        <v>23597737.86494644</v>
      </c>
      <c r="O20" s="76">
        <f t="shared" si="4"/>
        <v>34298461.011756003</v>
      </c>
      <c r="P20" s="76">
        <f t="shared" si="4"/>
        <v>47591870.080004722</v>
      </c>
      <c r="Q20" s="76">
        <f t="shared" si="4"/>
        <v>63676674.194490932</v>
      </c>
      <c r="R20" s="76">
        <f t="shared" si="4"/>
        <v>82745613.368160039</v>
      </c>
      <c r="S20" s="76">
        <f t="shared" si="4"/>
        <v>104985934.76858774</v>
      </c>
      <c r="T20" s="76">
        <f t="shared" si="4"/>
        <v>130579847.87749892</v>
      </c>
      <c r="U20" s="76">
        <f t="shared" si="4"/>
        <v>159704959.72429603</v>
      </c>
      <c r="V20" s="76">
        <f t="shared" si="4"/>
        <v>192534691.31549966</v>
      </c>
      <c r="W20" s="76">
        <f t="shared" si="4"/>
        <v>229238676.32611144</v>
      </c>
      <c r="X20" s="76">
        <f t="shared" si="4"/>
        <v>269983143.06602478</v>
      </c>
      <c r="Y20" s="76">
        <f t="shared" si="4"/>
        <v>314931280.68457174</v>
      </c>
      <c r="Z20" s="54">
        <f>M20</f>
        <v>15284523.786072211</v>
      </c>
      <c r="AA20" s="54">
        <f>Y20</f>
        <v>314931280.68457174</v>
      </c>
      <c r="AB20" s="35"/>
      <c r="AC20" s="35"/>
    </row>
    <row r="21" spans="1:29" ht="20" customHeight="1" x14ac:dyDescent="0.2">
      <c r="A21" s="35" t="s">
        <v>198</v>
      </c>
      <c r="B21" s="77">
        <f>1/(1+Assumptions!$B$72)^((COLUMN()-COLUMN($B$21)+1)/12)</f>
        <v>0.98492137526088874</v>
      </c>
      <c r="C21" s="77">
        <f>1/(1+Assumptions!$B$72)^((COLUMN()-COLUMN($B$21)+1)/12)</f>
        <v>0.97007011544580046</v>
      </c>
      <c r="D21" s="77">
        <f>1/(1+Assumptions!$B$72)^((COLUMN()-COLUMN($B$21)+1)/12)</f>
        <v>0.95544279220436679</v>
      </c>
      <c r="E21" s="77">
        <f>1/(1+Assumptions!$B$72)^((COLUMN()-COLUMN($B$21)+1)/12)</f>
        <v>0.94103602888102844</v>
      </c>
      <c r="F21" s="77">
        <f>1/(1+Assumptions!$B$72)^((COLUMN()-COLUMN($B$21)+1)/12)</f>
        <v>0.926846499735548</v>
      </c>
      <c r="G21" s="77">
        <f>1/(1+Assumptions!$B$72)^((COLUMN()-COLUMN($B$21)+1)/12)</f>
        <v>0.9128709291752769</v>
      </c>
      <c r="H21" s="77">
        <f>1/(1+Assumptions!$B$72)^((COLUMN()-COLUMN($B$21)+1)/12)</f>
        <v>0.89910609099899896</v>
      </c>
      <c r="I21" s="77">
        <f>1/(1+Assumptions!$B$72)^((COLUMN()-COLUMN($B$21)+1)/12)</f>
        <v>0.88554880765217592</v>
      </c>
      <c r="J21" s="77">
        <f>1/(1+Assumptions!$B$72)^((COLUMN()-COLUMN($B$21)+1)/12)</f>
        <v>0.87219594949342127</v>
      </c>
      <c r="K21" s="77">
        <f>1/(1+Assumptions!$B$72)^((COLUMN()-COLUMN($B$21)+1)/12)</f>
        <v>0.85904443407203712</v>
      </c>
      <c r="L21" s="77">
        <f>1/(1+Assumptions!$B$72)^((COLUMN()-COLUMN($B$21)+1)/12)</f>
        <v>0.84609122541644266</v>
      </c>
      <c r="M21" s="77">
        <f>1/(1+Assumptions!$B$72)^((COLUMN()-COLUMN($B$21)+1)/12)</f>
        <v>0.83333333333333337</v>
      </c>
      <c r="N21" s="77">
        <f>1/(1+Assumptions!$B$72)^((COLUMN()-COLUMN($B$21)+1)/12)</f>
        <v>0.82076781271740729</v>
      </c>
      <c r="O21" s="77">
        <f>1/(1+Assumptions!$B$72)^((COLUMN()-COLUMN($B$21)+1)/12)</f>
        <v>0.80839176287150039</v>
      </c>
      <c r="P21" s="77">
        <f>1/(1+Assumptions!$B$72)^((COLUMN()-COLUMN($B$21)+1)/12)</f>
        <v>0.79620232683697245</v>
      </c>
      <c r="Q21" s="77">
        <f>1/(1+Assumptions!$B$72)^((COLUMN()-COLUMN($B$21)+1)/12)</f>
        <v>0.7841966907341904</v>
      </c>
      <c r="R21" s="77">
        <f>1/(1+Assumptions!$B$72)^((COLUMN()-COLUMN($B$21)+1)/12)</f>
        <v>0.77237208311295658</v>
      </c>
      <c r="S21" s="77">
        <f>1/(1+Assumptions!$B$72)^((COLUMN()-COLUMN($B$21)+1)/12)</f>
        <v>0.7607257743127307</v>
      </c>
      <c r="T21" s="77">
        <f>1/(1+Assumptions!$B$72)^((COLUMN()-COLUMN($B$21)+1)/12)</f>
        <v>0.74925507583249917</v>
      </c>
      <c r="U21" s="77">
        <f>1/(1+Assumptions!$B$72)^((COLUMN()-COLUMN($B$21)+1)/12)</f>
        <v>0.73795733971014654</v>
      </c>
      <c r="V21" s="77">
        <f>1/(1+Assumptions!$B$72)^((COLUMN()-COLUMN($B$21)+1)/12)</f>
        <v>0.72682995791118443</v>
      </c>
      <c r="W21" s="77">
        <f>1/(1+Assumptions!$B$72)^((COLUMN()-COLUMN($B$21)+1)/12)</f>
        <v>0.71587036172669771</v>
      </c>
      <c r="X21" s="77">
        <f>1/(1+Assumptions!$B$72)^((COLUMN()-COLUMN($B$21)+1)/12)</f>
        <v>0.70507602118036894</v>
      </c>
      <c r="Y21" s="77">
        <f>1/(1+Assumptions!$B$72)^((COLUMN()-COLUMN($B$21)+1)/12)</f>
        <v>0.69444444444444442</v>
      </c>
      <c r="Z21" s="78">
        <f>AVERAGE(B21:M21)</f>
        <v>0.90720896513911009</v>
      </c>
      <c r="AA21" s="78">
        <f>AVERAGE(N21:Y21)</f>
        <v>0.75600747094925824</v>
      </c>
      <c r="AB21" s="35"/>
      <c r="AC21" s="35"/>
    </row>
    <row r="22" spans="1:29" ht="21" customHeight="1" x14ac:dyDescent="0.2">
      <c r="A22" s="63" t="s">
        <v>199</v>
      </c>
      <c r="B22" s="79">
        <f t="shared" ref="B22:Y22" si="5">B19*B21</f>
        <v>-9851964.9123211689</v>
      </c>
      <c r="C22" s="79">
        <f t="shared" si="5"/>
        <v>-1688908.8391536956</v>
      </c>
      <c r="D22" s="79">
        <f t="shared" si="5"/>
        <v>-1400173.9714028861</v>
      </c>
      <c r="E22" s="79">
        <f t="shared" si="5"/>
        <v>-893551.97061751073</v>
      </c>
      <c r="F22" s="79">
        <f t="shared" si="5"/>
        <v>-179991.87671773622</v>
      </c>
      <c r="G22" s="79">
        <f t="shared" si="5"/>
        <v>645368.2029451743</v>
      </c>
      <c r="H22" s="79">
        <f t="shared" si="5"/>
        <v>1091958.973665813</v>
      </c>
      <c r="I22" s="79">
        <f t="shared" si="5"/>
        <v>2120907.3419705993</v>
      </c>
      <c r="J22" s="79">
        <f t="shared" si="5"/>
        <v>3288453.6169845285</v>
      </c>
      <c r="K22" s="79">
        <f t="shared" si="5"/>
        <v>4589704.7773234705</v>
      </c>
      <c r="L22" s="79">
        <f t="shared" si="5"/>
        <v>6020420.7197329579</v>
      </c>
      <c r="M22" s="79">
        <f t="shared" si="5"/>
        <v>7576981.4493349465</v>
      </c>
      <c r="N22" s="79">
        <f t="shared" si="5"/>
        <v>6823218.5361691583</v>
      </c>
      <c r="O22" s="79">
        <f t="shared" si="5"/>
        <v>8650376.44864925</v>
      </c>
      <c r="P22" s="79">
        <f t="shared" si="5"/>
        <v>10584243.231735339</v>
      </c>
      <c r="Q22" s="79">
        <f t="shared" si="5"/>
        <v>12613650.157687778</v>
      </c>
      <c r="R22" s="79">
        <f t="shared" si="5"/>
        <v>14728316.272321071</v>
      </c>
      <c r="S22" s="79">
        <f t="shared" si="5"/>
        <v>16918785.718304362</v>
      </c>
      <c r="T22" s="79">
        <f t="shared" si="5"/>
        <v>19176369.307267647</v>
      </c>
      <c r="U22" s="79">
        <f t="shared" si="5"/>
        <v>21493090.057222877</v>
      </c>
      <c r="V22" s="79">
        <f t="shared" si="5"/>
        <v>23861632.430670023</v>
      </c>
      <c r="W22" s="79">
        <f t="shared" si="5"/>
        <v>26275295.026357941</v>
      </c>
      <c r="X22" s="79">
        <f t="shared" si="5"/>
        <v>28727946.494093962</v>
      </c>
      <c r="Y22" s="79">
        <f t="shared" si="5"/>
        <v>31213984.457324259</v>
      </c>
      <c r="Z22" s="64">
        <f>SUM(B22:M22)</f>
        <v>11319203.511744494</v>
      </c>
      <c r="AA22" s="64">
        <f>SUM(N22:Y22)</f>
        <v>221066908.13780367</v>
      </c>
      <c r="AB22" s="35"/>
      <c r="AC22" s="35"/>
    </row>
    <row r="23" spans="1:29" ht="42" customHeight="1" x14ac:dyDescent="0.2">
      <c r="A23" s="53" t="s">
        <v>200</v>
      </c>
      <c r="B23" s="76">
        <f>B22</f>
        <v>-9851964.9123211689</v>
      </c>
      <c r="C23" s="76">
        <f t="shared" ref="C23:Y23" si="6">B23+C22</f>
        <v>-11540873.751474865</v>
      </c>
      <c r="D23" s="76">
        <f t="shared" si="6"/>
        <v>-12941047.72287775</v>
      </c>
      <c r="E23" s="76">
        <f t="shared" si="6"/>
        <v>-13834599.693495261</v>
      </c>
      <c r="F23" s="76">
        <f t="shared" si="6"/>
        <v>-14014591.570212997</v>
      </c>
      <c r="G23" s="76">
        <f t="shared" si="6"/>
        <v>-13369223.367267823</v>
      </c>
      <c r="H23" s="76">
        <f t="shared" si="6"/>
        <v>-12277264.39360201</v>
      </c>
      <c r="I23" s="76">
        <f t="shared" si="6"/>
        <v>-10156357.05163141</v>
      </c>
      <c r="J23" s="76">
        <f t="shared" si="6"/>
        <v>-6867903.4346468812</v>
      </c>
      <c r="K23" s="76">
        <f t="shared" si="6"/>
        <v>-2278198.6573234107</v>
      </c>
      <c r="L23" s="76">
        <f t="shared" si="6"/>
        <v>3742222.0624095472</v>
      </c>
      <c r="M23" s="76">
        <f t="shared" si="6"/>
        <v>11319203.511744494</v>
      </c>
      <c r="N23" s="76">
        <f t="shared" si="6"/>
        <v>18142422.047913652</v>
      </c>
      <c r="O23" s="76">
        <f t="shared" si="6"/>
        <v>26792798.496562902</v>
      </c>
      <c r="P23" s="76">
        <f t="shared" si="6"/>
        <v>37377041.728298239</v>
      </c>
      <c r="Q23" s="76">
        <f t="shared" si="6"/>
        <v>49990691.885986015</v>
      </c>
      <c r="R23" s="76">
        <f t="shared" si="6"/>
        <v>64719008.15830709</v>
      </c>
      <c r="S23" s="76">
        <f t="shared" si="6"/>
        <v>81637793.876611456</v>
      </c>
      <c r="T23" s="76">
        <f t="shared" si="6"/>
        <v>100814163.18387911</v>
      </c>
      <c r="U23" s="76">
        <f t="shared" si="6"/>
        <v>122307253.24110198</v>
      </c>
      <c r="V23" s="76">
        <f t="shared" si="6"/>
        <v>146168885.671772</v>
      </c>
      <c r="W23" s="76">
        <f t="shared" si="6"/>
        <v>172444180.69812995</v>
      </c>
      <c r="X23" s="76">
        <f t="shared" si="6"/>
        <v>201172127.19222391</v>
      </c>
      <c r="Y23" s="76">
        <f t="shared" si="6"/>
        <v>232386111.64954817</v>
      </c>
      <c r="Z23" s="54">
        <f>M23</f>
        <v>11319203.511744494</v>
      </c>
      <c r="AA23" s="54">
        <f>Y23</f>
        <v>232386111.64954817</v>
      </c>
      <c r="AB23" s="35"/>
      <c r="AC23" s="35"/>
    </row>
    <row r="24" spans="1:29" ht="18" customHeight="1" x14ac:dyDescent="0.2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 ht="20" customHeight="1" x14ac:dyDescent="0.2">
      <c r="A25" s="41" t="s">
        <v>201</v>
      </c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2"/>
      <c r="AC25" s="42"/>
    </row>
    <row r="26" spans="1:29" ht="40" customHeight="1" x14ac:dyDescent="0.2">
      <c r="A26" s="35" t="s">
        <v>202</v>
      </c>
      <c r="B26" s="74">
        <f t="array" ref="B26">IF(COUNTIF(B20:Y20,"&gt;=0")=0,"Нет в горизонте",COUNTIF(B20:Y20,"&lt;0")+1)</f>
        <v>11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</row>
    <row r="27" spans="1:29" ht="40" customHeight="1" x14ac:dyDescent="0.2">
      <c r="A27" s="35" t="s">
        <v>203</v>
      </c>
      <c r="B27" s="74">
        <f t="array" ref="B27">IF(COUNTIF(B23:Y23,"&gt;=0")=0,"Нет в горизонте",COUNTIF(B23:Y23,"&lt;0")+1)</f>
        <v>11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</row>
    <row r="28" spans="1:29" ht="20" customHeight="1" x14ac:dyDescent="0.2">
      <c r="A28" s="35" t="s">
        <v>204</v>
      </c>
      <c r="B28" s="72">
        <f>-MIN(B20:Y20)</f>
        <v>14353020.653570667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</row>
    <row r="29" spans="1:29" ht="20" customHeight="1" x14ac:dyDescent="0.2">
      <c r="A29" s="35" t="s">
        <v>205</v>
      </c>
      <c r="B29" s="72">
        <f>Z19</f>
        <v>15284523.786072211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</row>
    <row r="30" spans="1:29" ht="20" customHeight="1" x14ac:dyDescent="0.2">
      <c r="A30" s="35" t="s">
        <v>206</v>
      </c>
      <c r="B30" s="72">
        <f>AA19</f>
        <v>299646756.89849949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</row>
    <row r="31" spans="1:29" ht="20" customHeight="1" x14ac:dyDescent="0.2">
      <c r="A31" s="35" t="s">
        <v>207</v>
      </c>
      <c r="B31" s="72">
        <f>Y20</f>
        <v>314931280.68457174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</row>
    <row r="32" spans="1:29" ht="18" customHeight="1" x14ac:dyDescent="0.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</row>
    <row r="33" spans="1:29" ht="18" customHeight="1" x14ac:dyDescent="0.2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</row>
    <row r="34" spans="1:29" ht="18" customHeight="1" x14ac:dyDescent="0.2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</row>
    <row r="35" spans="1:29" ht="18" customHeight="1" x14ac:dyDescent="0.2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</row>
    <row r="36" spans="1:29" ht="18" customHeight="1" x14ac:dyDescent="0.2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</row>
    <row r="37" spans="1:29" ht="18" customHeight="1" x14ac:dyDescent="0.2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</row>
    <row r="38" spans="1:29" ht="18" customHeight="1" x14ac:dyDescent="0.2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</row>
    <row r="39" spans="1:29" ht="18" customHeight="1" x14ac:dyDescent="0.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</row>
    <row r="40" spans="1:29" ht="18" customHeight="1" x14ac:dyDescent="0.2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</row>
    <row r="41" spans="1:29" ht="18" customHeight="1" x14ac:dyDescent="0.2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</row>
    <row r="42" spans="1:29" ht="18" customHeight="1" x14ac:dyDescent="0.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</row>
    <row r="43" spans="1:29" ht="18" customHeight="1" x14ac:dyDescent="0.2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</row>
    <row r="44" spans="1:29" ht="18" customHeight="1" x14ac:dyDescent="0.2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</row>
    <row r="45" spans="1:29" ht="18" customHeight="1" x14ac:dyDescent="0.2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</row>
    <row r="46" spans="1:29" ht="18" customHeight="1" x14ac:dyDescent="0.2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</row>
    <row r="47" spans="1:29" ht="18" customHeight="1" x14ac:dyDescent="0.2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</row>
    <row r="48" spans="1:29" ht="18" customHeight="1" x14ac:dyDescent="0.2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</row>
    <row r="49" spans="1:29" ht="18" customHeight="1" x14ac:dyDescent="0.2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</row>
    <row r="50" spans="1:29" ht="18" customHeight="1" x14ac:dyDescent="0.2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</row>
    <row r="51" spans="1:29" ht="18" customHeight="1" x14ac:dyDescent="0.2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</row>
    <row r="52" spans="1:29" ht="18" customHeight="1" x14ac:dyDescent="0.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</row>
    <row r="53" spans="1:29" ht="18" customHeight="1" x14ac:dyDescent="0.2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</row>
    <row r="54" spans="1:29" ht="18" customHeight="1" x14ac:dyDescent="0.2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</row>
    <row r="55" spans="1:29" ht="18" customHeight="1" x14ac:dyDescent="0.2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55"/>
  <sheetViews>
    <sheetView topLeftCell="A26" zoomScale="94" workbookViewId="0">
      <selection activeCell="J60" sqref="J60"/>
    </sheetView>
  </sheetViews>
  <sheetFormatPr baseColWidth="10" defaultColWidth="8.83203125" defaultRowHeight="13" x14ac:dyDescent="0.15"/>
  <cols>
    <col min="1" max="1" width="42" customWidth="1"/>
    <col min="2" max="2" width="14.33203125" customWidth="1"/>
    <col min="3" max="5" width="12" customWidth="1"/>
    <col min="6" max="25" width="11" customWidth="1"/>
    <col min="26" max="27" width="14" customWidth="1"/>
    <col min="28" max="28" width="45" customWidth="1"/>
    <col min="29" max="29" width="30" customWidth="1"/>
    <col min="30" max="30" width="13.1640625" customWidth="1"/>
  </cols>
  <sheetData>
    <row r="1" spans="1:29" ht="49" customHeight="1" x14ac:dyDescent="0.15">
      <c r="A1" s="32" t="s">
        <v>208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4"/>
      <c r="AC1" s="4"/>
    </row>
    <row r="2" spans="1:29" ht="20" customHeight="1" x14ac:dyDescent="0.2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4"/>
      <c r="AC2" s="34"/>
    </row>
    <row r="3" spans="1:29" ht="18" customHeight="1" x14ac:dyDescent="0.2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</row>
    <row r="4" spans="1:29" ht="21" customHeight="1" x14ac:dyDescent="0.15">
      <c r="A4" s="1" t="s">
        <v>28</v>
      </c>
      <c r="B4" s="37" t="s">
        <v>52</v>
      </c>
      <c r="C4" s="37" t="s">
        <v>53</v>
      </c>
      <c r="D4" s="37" t="s">
        <v>54</v>
      </c>
      <c r="E4" s="37" t="s">
        <v>55</v>
      </c>
      <c r="F4" s="37" t="s">
        <v>56</v>
      </c>
      <c r="G4" s="37" t="s">
        <v>57</v>
      </c>
      <c r="H4" s="37" t="s">
        <v>58</v>
      </c>
      <c r="I4" s="37" t="s">
        <v>59</v>
      </c>
      <c r="J4" s="37" t="s">
        <v>60</v>
      </c>
      <c r="K4" s="37" t="s">
        <v>61</v>
      </c>
      <c r="L4" s="37" t="s">
        <v>62</v>
      </c>
      <c r="M4" s="37" t="s">
        <v>63</v>
      </c>
      <c r="N4" s="37" t="s">
        <v>64</v>
      </c>
      <c r="O4" s="37" t="s">
        <v>65</v>
      </c>
      <c r="P4" s="37" t="s">
        <v>66</v>
      </c>
      <c r="Q4" s="37" t="s">
        <v>67</v>
      </c>
      <c r="R4" s="37" t="s">
        <v>68</v>
      </c>
      <c r="S4" s="37" t="s">
        <v>69</v>
      </c>
      <c r="T4" s="37" t="s">
        <v>70</v>
      </c>
      <c r="U4" s="37" t="s">
        <v>71</v>
      </c>
      <c r="V4" s="37" t="s">
        <v>72</v>
      </c>
      <c r="W4" s="37" t="s">
        <v>73</v>
      </c>
      <c r="X4" s="37" t="s">
        <v>74</v>
      </c>
      <c r="Y4" s="37" t="s">
        <v>75</v>
      </c>
      <c r="Z4" s="37" t="s">
        <v>76</v>
      </c>
      <c r="AA4" s="37" t="s">
        <v>77</v>
      </c>
      <c r="AB4" s="38"/>
      <c r="AC4" s="38"/>
    </row>
    <row r="5" spans="1:29" ht="18" customHeight="1" x14ac:dyDescent="0.2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</row>
    <row r="6" spans="1:29" ht="20" customHeight="1" x14ac:dyDescent="0.2">
      <c r="A6" s="41" t="s">
        <v>209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2"/>
      <c r="AC6" s="42"/>
    </row>
    <row r="7" spans="1:29" ht="20" customHeight="1" x14ac:dyDescent="0.2">
      <c r="A7" s="35" t="s">
        <v>196</v>
      </c>
      <c r="B7" s="51">
        <f>'Cash Flow'!B19</f>
        <v>-10002793.278510736</v>
      </c>
      <c r="C7" s="51">
        <f>'Cash Flow'!C19</f>
        <v>-1741017.2855160572</v>
      </c>
      <c r="D7" s="51">
        <f>'Cash Flow'!D19</f>
        <v>-1465471.2797324578</v>
      </c>
      <c r="E7" s="51">
        <f>'Cash Flow'!E19</f>
        <v>-949540.6585867065</v>
      </c>
      <c r="F7" s="51">
        <f>'Cash Flow'!F19</f>
        <v>-194198.15122470906</v>
      </c>
      <c r="G7" s="51">
        <f>'Cash Flow'!G19</f>
        <v>706965.44529928779</v>
      </c>
      <c r="H7" s="51">
        <f>'Cash Flow'!H19</f>
        <v>1214494.0231163763</v>
      </c>
      <c r="I7" s="51">
        <f>'Cash Flow'!I19</f>
        <v>2395020.2672551563</v>
      </c>
      <c r="J7" s="51">
        <f>'Cash Flow'!J19</f>
        <v>3770315.1670154966</v>
      </c>
      <c r="K7" s="51">
        <f>'Cash Flow'!K19</f>
        <v>5342802.5318403849</v>
      </c>
      <c r="L7" s="51">
        <f>'Cash Flow'!L19</f>
        <v>7115569.2659142418</v>
      </c>
      <c r="M7" s="51">
        <f>'Cash Flow'!M19</f>
        <v>9092377.739201935</v>
      </c>
      <c r="N7" s="51">
        <f>'Cash Flow'!N19</f>
        <v>8313214.0788742304</v>
      </c>
      <c r="O7" s="51">
        <f>'Cash Flow'!O19</f>
        <v>10700723.146809561</v>
      </c>
      <c r="P7" s="51">
        <f>'Cash Flow'!P19</f>
        <v>13293409.068248719</v>
      </c>
      <c r="Q7" s="51">
        <f>'Cash Flow'!Q19</f>
        <v>16084804.114486212</v>
      </c>
      <c r="R7" s="51">
        <f>'Cash Flow'!R19</f>
        <v>19068939.173669111</v>
      </c>
      <c r="S7" s="51">
        <f>'Cash Flow'!S19</f>
        <v>22240321.400427707</v>
      </c>
      <c r="T7" s="51">
        <f>'Cash Flow'!T19</f>
        <v>25593913.108911186</v>
      </c>
      <c r="U7" s="51">
        <f>'Cash Flow'!U19</f>
        <v>29125111.84679712</v>
      </c>
      <c r="V7" s="51">
        <f>'Cash Flow'!V19</f>
        <v>32829731.591203641</v>
      </c>
      <c r="W7" s="51">
        <f>'Cash Flow'!W19</f>
        <v>36703985.010611773</v>
      </c>
      <c r="X7" s="51">
        <f>'Cash Flow'!X19</f>
        <v>40744466.739913322</v>
      </c>
      <c r="Y7" s="51">
        <f>'Cash Flow'!Y19</f>
        <v>44948137.618546933</v>
      </c>
      <c r="Z7" s="72">
        <f>SUM(B7:M7)</f>
        <v>15284523.786072211</v>
      </c>
      <c r="AA7" s="72">
        <f>SUM(N7:Y7)</f>
        <v>299646756.89849949</v>
      </c>
      <c r="AB7" s="35"/>
      <c r="AC7" s="35"/>
    </row>
    <row r="8" spans="1:29" ht="20" customHeight="1" x14ac:dyDescent="0.2">
      <c r="A8" s="35" t="s">
        <v>210</v>
      </c>
      <c r="B8" s="77">
        <f>'Cash Flow'!B21</f>
        <v>0.98492137526088874</v>
      </c>
      <c r="C8" s="77">
        <f>'Cash Flow'!C21</f>
        <v>0.97007011544580046</v>
      </c>
      <c r="D8" s="77">
        <f>'Cash Flow'!D21</f>
        <v>0.95544279220436679</v>
      </c>
      <c r="E8" s="77">
        <f>'Cash Flow'!E21</f>
        <v>0.94103602888102844</v>
      </c>
      <c r="F8" s="77">
        <f>'Cash Flow'!F21</f>
        <v>0.926846499735548</v>
      </c>
      <c r="G8" s="77">
        <f>'Cash Flow'!G21</f>
        <v>0.9128709291752769</v>
      </c>
      <c r="H8" s="77">
        <f>'Cash Flow'!H21</f>
        <v>0.89910609099899896</v>
      </c>
      <c r="I8" s="77">
        <f>'Cash Flow'!I21</f>
        <v>0.88554880765217592</v>
      </c>
      <c r="J8" s="77">
        <f>'Cash Flow'!J21</f>
        <v>0.87219594949342127</v>
      </c>
      <c r="K8" s="77">
        <f>'Cash Flow'!K21</f>
        <v>0.85904443407203712</v>
      </c>
      <c r="L8" s="77">
        <f>'Cash Flow'!L21</f>
        <v>0.84609122541644266</v>
      </c>
      <c r="M8" s="77">
        <f>'Cash Flow'!M21</f>
        <v>0.83333333333333337</v>
      </c>
      <c r="N8" s="77">
        <f>'Cash Flow'!N21</f>
        <v>0.82076781271740729</v>
      </c>
      <c r="O8" s="77">
        <f>'Cash Flow'!O21</f>
        <v>0.80839176287150039</v>
      </c>
      <c r="P8" s="77">
        <f>'Cash Flow'!P21</f>
        <v>0.79620232683697245</v>
      </c>
      <c r="Q8" s="77">
        <f>'Cash Flow'!Q21</f>
        <v>0.7841966907341904</v>
      </c>
      <c r="R8" s="77">
        <f>'Cash Flow'!R21</f>
        <v>0.77237208311295658</v>
      </c>
      <c r="S8" s="77">
        <f>'Cash Flow'!S21</f>
        <v>0.7607257743127307</v>
      </c>
      <c r="T8" s="77">
        <f>'Cash Flow'!T21</f>
        <v>0.74925507583249917</v>
      </c>
      <c r="U8" s="77">
        <f>'Cash Flow'!U21</f>
        <v>0.73795733971014654</v>
      </c>
      <c r="V8" s="77">
        <f>'Cash Flow'!V21</f>
        <v>0.72682995791118443</v>
      </c>
      <c r="W8" s="77">
        <f>'Cash Flow'!W21</f>
        <v>0.71587036172669771</v>
      </c>
      <c r="X8" s="77">
        <f>'Cash Flow'!X21</f>
        <v>0.70507602118036894</v>
      </c>
      <c r="Y8" s="77">
        <f>'Cash Flow'!Y21</f>
        <v>0.69444444444444442</v>
      </c>
      <c r="Z8" s="78">
        <f>AVERAGE(B8:M8)</f>
        <v>0.90720896513911009</v>
      </c>
      <c r="AA8" s="78">
        <f>AVERAGE(N8:Y8)</f>
        <v>0.75600747094925824</v>
      </c>
      <c r="AB8" s="35"/>
      <c r="AC8" s="35"/>
    </row>
    <row r="9" spans="1:29" ht="21" customHeight="1" x14ac:dyDescent="0.2">
      <c r="A9" s="53" t="s">
        <v>211</v>
      </c>
      <c r="B9" s="54">
        <f t="shared" ref="B9:Y9" si="0">B7*B8</f>
        <v>-9851964.9123211689</v>
      </c>
      <c r="C9" s="54">
        <f t="shared" si="0"/>
        <v>-1688908.8391536956</v>
      </c>
      <c r="D9" s="54">
        <f t="shared" si="0"/>
        <v>-1400173.9714028861</v>
      </c>
      <c r="E9" s="54">
        <f t="shared" si="0"/>
        <v>-893551.97061751073</v>
      </c>
      <c r="F9" s="54">
        <f t="shared" si="0"/>
        <v>-179991.87671773622</v>
      </c>
      <c r="G9" s="54">
        <f t="shared" si="0"/>
        <v>645368.2029451743</v>
      </c>
      <c r="H9" s="54">
        <f t="shared" si="0"/>
        <v>1091958.973665813</v>
      </c>
      <c r="I9" s="54">
        <f t="shared" si="0"/>
        <v>2120907.3419705993</v>
      </c>
      <c r="J9" s="54">
        <f t="shared" si="0"/>
        <v>3288453.6169845285</v>
      </c>
      <c r="K9" s="54">
        <f t="shared" si="0"/>
        <v>4589704.7773234705</v>
      </c>
      <c r="L9" s="54">
        <f t="shared" si="0"/>
        <v>6020420.7197329579</v>
      </c>
      <c r="M9" s="54">
        <f t="shared" si="0"/>
        <v>7576981.4493349465</v>
      </c>
      <c r="N9" s="54">
        <f t="shared" si="0"/>
        <v>6823218.5361691583</v>
      </c>
      <c r="O9" s="54">
        <f t="shared" si="0"/>
        <v>8650376.44864925</v>
      </c>
      <c r="P9" s="54">
        <f t="shared" si="0"/>
        <v>10584243.231735339</v>
      </c>
      <c r="Q9" s="54">
        <f t="shared" si="0"/>
        <v>12613650.157687778</v>
      </c>
      <c r="R9" s="54">
        <f t="shared" si="0"/>
        <v>14728316.272321071</v>
      </c>
      <c r="S9" s="54">
        <f t="shared" si="0"/>
        <v>16918785.718304362</v>
      </c>
      <c r="T9" s="54">
        <f t="shared" si="0"/>
        <v>19176369.307267647</v>
      </c>
      <c r="U9" s="54">
        <f t="shared" si="0"/>
        <v>21493090.057222877</v>
      </c>
      <c r="V9" s="54">
        <f t="shared" si="0"/>
        <v>23861632.430670023</v>
      </c>
      <c r="W9" s="54">
        <f t="shared" si="0"/>
        <v>26275295.026357941</v>
      </c>
      <c r="X9" s="54">
        <f t="shared" si="0"/>
        <v>28727946.494093962</v>
      </c>
      <c r="Y9" s="54">
        <f t="shared" si="0"/>
        <v>31213984.457324259</v>
      </c>
      <c r="Z9" s="54">
        <f>SUM(B9:M9)</f>
        <v>11319203.511744494</v>
      </c>
      <c r="AA9" s="54">
        <f>SUM(N9:Y9)</f>
        <v>221066908.13780367</v>
      </c>
      <c r="AB9" s="35"/>
      <c r="AC9" s="35"/>
    </row>
    <row r="10" spans="1:29" ht="18" customHeight="1" x14ac:dyDescent="0.2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</row>
    <row r="11" spans="1:29" ht="20" customHeight="1" x14ac:dyDescent="0.2">
      <c r="A11" s="41" t="s">
        <v>212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2"/>
      <c r="AC11" s="42"/>
    </row>
    <row r="12" spans="1:29" ht="20" customHeight="1" x14ac:dyDescent="0.2">
      <c r="A12" s="35" t="s">
        <v>206</v>
      </c>
      <c r="B12" s="51">
        <f>'Cash Flow'!$AA$19</f>
        <v>299646756.89849949</v>
      </c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</row>
    <row r="13" spans="1:29" ht="20" customHeight="1" x14ac:dyDescent="0.2">
      <c r="A13" s="35" t="s">
        <v>38</v>
      </c>
      <c r="B13" s="61">
        <f>Assumptions!$C$85</f>
        <v>0.05</v>
      </c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</row>
    <row r="14" spans="1:29" ht="20" customHeight="1" x14ac:dyDescent="0.2">
      <c r="A14" s="35" t="s">
        <v>213</v>
      </c>
      <c r="B14" s="61">
        <f>Assumptions!$B$72</f>
        <v>0.2</v>
      </c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</row>
    <row r="15" spans="1:29" ht="20" customHeight="1" x14ac:dyDescent="0.2">
      <c r="A15" s="35" t="s">
        <v>214</v>
      </c>
      <c r="B15" s="72">
        <f>B12*(1+B13)/(B14-B13)</f>
        <v>2097527298.2894962</v>
      </c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</row>
    <row r="16" spans="1:29" ht="20" customHeight="1" x14ac:dyDescent="0.2">
      <c r="A16" s="35" t="s">
        <v>215</v>
      </c>
      <c r="B16" s="77">
        <f>'Cash Flow'!$Y$21</f>
        <v>0.69444444444444442</v>
      </c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</row>
    <row r="17" spans="1:31" ht="21" customHeight="1" x14ac:dyDescent="0.2">
      <c r="A17" s="53" t="s">
        <v>216</v>
      </c>
      <c r="B17" s="54">
        <f>B15*B16</f>
        <v>1456616179.3677056</v>
      </c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35"/>
      <c r="AC17" s="35"/>
    </row>
    <row r="18" spans="1:31" ht="18" customHeight="1" x14ac:dyDescent="0.2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</row>
    <row r="19" spans="1:31" ht="20" customHeight="1" x14ac:dyDescent="0.2">
      <c r="A19" s="41" t="s">
        <v>217</v>
      </c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2"/>
      <c r="AC19" s="42"/>
    </row>
    <row r="20" spans="1:31" ht="20" customHeight="1" x14ac:dyDescent="0.2">
      <c r="A20" s="35" t="s">
        <v>218</v>
      </c>
      <c r="B20" s="51">
        <f>'Cash Flow'!$Z$22+'Cash Flow'!$AA$22</f>
        <v>232386111.64954817</v>
      </c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</row>
    <row r="21" spans="1:31" ht="20" customHeight="1" x14ac:dyDescent="0.2">
      <c r="A21" s="35" t="s">
        <v>216</v>
      </c>
      <c r="B21" s="72">
        <f>B17</f>
        <v>1456616179.3677056</v>
      </c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31" ht="21" customHeight="1" x14ac:dyDescent="0.2">
      <c r="A22" s="53" t="s">
        <v>219</v>
      </c>
      <c r="B22" s="54">
        <f>SUM(B20:B21)</f>
        <v>1689002291.0172539</v>
      </c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35"/>
      <c r="AC22" s="35"/>
    </row>
    <row r="23" spans="1:31" ht="20" customHeight="1" x14ac:dyDescent="0.2">
      <c r="A23" s="35" t="s">
        <v>220</v>
      </c>
      <c r="B23" s="70">
        <f>IFERROR(B21/B22,0)</f>
        <v>0.8624121986776071</v>
      </c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31" ht="20" customHeight="1" x14ac:dyDescent="0.2">
      <c r="A24" s="35" t="s">
        <v>221</v>
      </c>
      <c r="B24" s="80">
        <f>IF(COUNTIF('Cash Flow'!B20:Y20,"&gt;=0")=0,"Нет в горизонте",COUNTIF('Cash Flow'!B20:Y20,"&lt;0")+1)</f>
        <v>11</v>
      </c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31" ht="20" customHeight="1" x14ac:dyDescent="0.2">
      <c r="A25" s="35" t="s">
        <v>203</v>
      </c>
      <c r="B25" s="80">
        <f>IF(COUNTIF('Cash Flow'!B23:Y23,"&gt;=0")=0,"Нет в горизонте",COUNTIF('Cash Flow'!B23:Y23,"&lt;0")+1)</f>
        <v>11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  <row r="26" spans="1:31" ht="20" customHeight="1" x14ac:dyDescent="0.2">
      <c r="A26" s="35" t="s">
        <v>222</v>
      </c>
      <c r="B26" s="70">
        <f>IRR('Cash Flow'!B19:Y19)</f>
        <v>0.22101694665490235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</row>
    <row r="27" spans="1:31" ht="20" customHeight="1" x14ac:dyDescent="0.2">
      <c r="A27" s="35" t="s">
        <v>223</v>
      </c>
      <c r="B27" s="70">
        <f>(1+B26)^12-1</f>
        <v>9.9814654468224884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</row>
    <row r="28" spans="1:31" ht="18" customHeight="1" x14ac:dyDescent="0.2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81"/>
      <c r="AE28" s="81"/>
    </row>
    <row r="29" spans="1:31" ht="18" customHeight="1" x14ac:dyDescent="0.2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81"/>
      <c r="AE29" s="81"/>
    </row>
    <row r="30" spans="1:31" ht="18" customHeight="1" x14ac:dyDescent="0.2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81"/>
      <c r="AE30" s="81"/>
    </row>
    <row r="31" spans="1:31" ht="18" customHeight="1" x14ac:dyDescent="0.2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82" t="s">
        <v>28</v>
      </c>
      <c r="AC31" s="82" t="s">
        <v>224</v>
      </c>
      <c r="AD31" s="83" t="s">
        <v>225</v>
      </c>
      <c r="AE31" s="81"/>
    </row>
    <row r="32" spans="1:31" ht="18" customHeight="1" x14ac:dyDescent="0.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84" t="s">
        <v>219</v>
      </c>
      <c r="AC32" s="85">
        <f>$B$20</f>
        <v>232386111.64954817</v>
      </c>
      <c r="AD32" s="86">
        <f>$B$21</f>
        <v>1456616179.3677056</v>
      </c>
      <c r="AE32" s="81"/>
    </row>
    <row r="33" spans="1:31" ht="18" customHeight="1" x14ac:dyDescent="0.2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87"/>
      <c r="AC33" s="87"/>
      <c r="AD33" s="81"/>
      <c r="AE33" s="81"/>
    </row>
    <row r="34" spans="1:31" ht="18" customHeight="1" x14ac:dyDescent="0.2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87"/>
      <c r="AC34" s="87"/>
      <c r="AD34" s="81"/>
      <c r="AE34" s="81"/>
    </row>
    <row r="35" spans="1:31" ht="18" customHeight="1" x14ac:dyDescent="0.2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87"/>
      <c r="AC35" s="87"/>
    </row>
    <row r="36" spans="1:31" ht="18" customHeight="1" x14ac:dyDescent="0.2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</row>
    <row r="37" spans="1:31" ht="18" customHeight="1" x14ac:dyDescent="0.2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</row>
    <row r="38" spans="1:31" ht="18" customHeight="1" x14ac:dyDescent="0.2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</row>
    <row r="39" spans="1:31" ht="18" customHeight="1" x14ac:dyDescent="0.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</row>
    <row r="40" spans="1:31" ht="18" customHeight="1" x14ac:dyDescent="0.2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</row>
    <row r="41" spans="1:31" ht="18" customHeight="1" x14ac:dyDescent="0.2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</row>
    <row r="42" spans="1:31" ht="18" customHeight="1" x14ac:dyDescent="0.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</row>
    <row r="43" spans="1:31" ht="18" customHeight="1" x14ac:dyDescent="0.2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</row>
    <row r="44" spans="1:31" ht="18" customHeight="1" x14ac:dyDescent="0.2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</row>
    <row r="45" spans="1:31" ht="18" customHeight="1" x14ac:dyDescent="0.2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</row>
    <row r="46" spans="1:31" ht="18" customHeight="1" x14ac:dyDescent="0.2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</row>
    <row r="47" spans="1:31" ht="18" customHeight="1" x14ac:dyDescent="0.2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</row>
    <row r="48" spans="1:31" ht="18" customHeight="1" x14ac:dyDescent="0.2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</row>
    <row r="49" spans="1:29" ht="18" customHeight="1" x14ac:dyDescent="0.2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</row>
    <row r="50" spans="1:29" ht="18" customHeight="1" x14ac:dyDescent="0.2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</row>
    <row r="51" spans="1:29" ht="18" customHeight="1" x14ac:dyDescent="0.2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</row>
    <row r="52" spans="1:29" ht="18" customHeight="1" x14ac:dyDescent="0.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</row>
    <row r="53" spans="1:29" ht="18" customHeight="1" x14ac:dyDescent="0.2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</row>
    <row r="54" spans="1:29" ht="18" customHeight="1" x14ac:dyDescent="0.2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</row>
    <row r="55" spans="1:29" ht="18" customHeight="1" x14ac:dyDescent="0.2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4E78"/>
  </sheetPr>
  <dimension ref="A1:AK117"/>
  <sheetViews>
    <sheetView showGridLines="0" zoomScale="81" workbookViewId="0">
      <selection activeCell="AG31" sqref="AG31"/>
    </sheetView>
  </sheetViews>
  <sheetFormatPr baseColWidth="10" defaultColWidth="8.83203125" defaultRowHeight="13" x14ac:dyDescent="0.15"/>
  <cols>
    <col min="1" max="1" width="36" customWidth="1"/>
    <col min="2" max="4" width="14" customWidth="1"/>
    <col min="5" max="5" width="11" customWidth="1"/>
    <col min="6" max="6" width="22" customWidth="1"/>
    <col min="7" max="25" width="11" customWidth="1"/>
    <col min="26" max="27" width="14" customWidth="1"/>
    <col min="28" max="29" width="3" customWidth="1"/>
  </cols>
  <sheetData>
    <row r="1" spans="1:37" ht="36.75" customHeight="1" x14ac:dyDescent="0.15">
      <c r="A1" s="132" t="s">
        <v>226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E1" s="147" t="s">
        <v>1</v>
      </c>
      <c r="AF1" s="147"/>
      <c r="AG1" s="147"/>
      <c r="AH1" s="147"/>
      <c r="AI1" s="148"/>
      <c r="AJ1" s="148"/>
      <c r="AK1" s="148"/>
    </row>
    <row r="2" spans="1:37" ht="30" customHeight="1" x14ac:dyDescent="0.1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E2" s="147" t="str">
        <f>Scenarios!A15</f>
        <v>Показатель</v>
      </c>
      <c r="AF2" s="147" t="str">
        <f>Scenarios!B15</f>
        <v>Пессимистичный</v>
      </c>
      <c r="AG2" s="147" t="str">
        <f>Scenarios!C15</f>
        <v>Базовый</v>
      </c>
      <c r="AH2" s="147" t="str">
        <f>Scenarios!D15</f>
        <v>Оптимистичный</v>
      </c>
      <c r="AI2" s="148"/>
      <c r="AJ2" s="148"/>
      <c r="AK2" s="148"/>
    </row>
    <row r="3" spans="1:37" ht="13.5" customHeight="1" x14ac:dyDescent="0.2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E3" s="147" t="str">
        <f>Scenarios!A20</f>
        <v>EBITDA — Год 1</v>
      </c>
      <c r="AF3" s="147">
        <f>Scenarios!B20</f>
        <v>6470661.9418159276</v>
      </c>
      <c r="AG3" s="147">
        <f>Scenarios!C20</f>
        <v>30110576.5626496</v>
      </c>
      <c r="AH3" s="147">
        <f>Scenarios!D20</f>
        <v>53750491.183483273</v>
      </c>
      <c r="AI3" s="148"/>
      <c r="AJ3" s="148"/>
      <c r="AK3" s="148"/>
    </row>
    <row r="4" spans="1:37" ht="19.5" customHeight="1" x14ac:dyDescent="0.15">
      <c r="A4" s="131" t="s">
        <v>227</v>
      </c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E4" s="147" t="str">
        <f>Scenarios!A22</f>
        <v>FCF — Год 1</v>
      </c>
      <c r="AF4" s="147">
        <f>Scenarios!B22</f>
        <v>-5684895.6108942684</v>
      </c>
      <c r="AG4" s="147">
        <f>Scenarios!C22</f>
        <v>15284523.786072211</v>
      </c>
      <c r="AH4" s="147">
        <f>Scenarios!D22</f>
        <v>35826477.045407422</v>
      </c>
      <c r="AI4" s="148"/>
      <c r="AJ4" s="148"/>
      <c r="AK4" s="148"/>
    </row>
    <row r="5" spans="1:37" ht="24" customHeight="1" x14ac:dyDescent="0.2">
      <c r="A5" s="36" t="s">
        <v>28</v>
      </c>
      <c r="B5" s="1" t="s">
        <v>29</v>
      </c>
      <c r="C5" s="1" t="s">
        <v>30</v>
      </c>
      <c r="D5" s="1" t="s">
        <v>31</v>
      </c>
      <c r="E5" s="56"/>
      <c r="F5" s="1" t="s">
        <v>228</v>
      </c>
      <c r="G5" s="89"/>
      <c r="H5" s="89"/>
      <c r="I5" s="89"/>
      <c r="J5" s="56"/>
      <c r="K5" s="56"/>
      <c r="L5" s="56"/>
      <c r="M5" s="56"/>
      <c r="N5" s="56"/>
      <c r="O5" s="56"/>
      <c r="P5" s="56"/>
      <c r="Q5" s="56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  <c r="AE5" s="147" t="str">
        <f>Scenarios!A26</f>
        <v>Enterprise Value</v>
      </c>
      <c r="AF5" s="147">
        <f>Scenarios!B26</f>
        <v>873115430.9953531</v>
      </c>
      <c r="AG5" s="147">
        <f>Scenarios!C26</f>
        <v>1689002291.0172539</v>
      </c>
      <c r="AH5" s="147">
        <f>Scenarios!D26</f>
        <v>2748064250.4882193</v>
      </c>
      <c r="AI5" s="148"/>
      <c r="AJ5" s="148"/>
      <c r="AK5" s="148"/>
    </row>
    <row r="6" spans="1:37" ht="18" customHeight="1" x14ac:dyDescent="0.2">
      <c r="A6" s="90" t="s">
        <v>32</v>
      </c>
      <c r="B6" s="91">
        <f>Assumptions!B79</f>
        <v>0.7</v>
      </c>
      <c r="C6" s="91">
        <f>Assumptions!C79</f>
        <v>1</v>
      </c>
      <c r="D6" s="91">
        <f>Assumptions!D79</f>
        <v>1.3</v>
      </c>
      <c r="E6" s="56"/>
      <c r="F6" s="92" t="s">
        <v>229</v>
      </c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E6" s="148"/>
      <c r="AF6" s="148"/>
      <c r="AG6" s="148"/>
      <c r="AH6" s="148"/>
      <c r="AI6" s="148"/>
      <c r="AJ6" s="148"/>
      <c r="AK6" s="148"/>
    </row>
    <row r="7" spans="1:37" ht="18" customHeight="1" x14ac:dyDescent="0.2">
      <c r="A7" s="90" t="s">
        <v>33</v>
      </c>
      <c r="B7" s="91">
        <f>Assumptions!B80</f>
        <v>0.7</v>
      </c>
      <c r="C7" s="91">
        <f>Assumptions!C80</f>
        <v>1</v>
      </c>
      <c r="D7" s="91">
        <f>Assumptions!D80</f>
        <v>1.3</v>
      </c>
      <c r="E7" s="56"/>
      <c r="F7" s="92" t="s">
        <v>230</v>
      </c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88"/>
      <c r="S7" s="88"/>
      <c r="T7" s="88"/>
      <c r="U7" s="88"/>
      <c r="V7" s="88"/>
      <c r="W7" s="88"/>
      <c r="X7" s="88"/>
      <c r="Y7" s="88"/>
      <c r="Z7" s="88"/>
      <c r="AA7" s="88"/>
      <c r="AB7" s="88"/>
      <c r="AC7" s="88"/>
      <c r="AE7" s="148"/>
      <c r="AF7" s="148"/>
      <c r="AG7" s="148"/>
      <c r="AH7" s="148"/>
      <c r="AI7" s="148"/>
      <c r="AJ7" s="148"/>
      <c r="AK7" s="148"/>
    </row>
    <row r="8" spans="1:37" ht="18" customHeight="1" x14ac:dyDescent="0.2">
      <c r="A8" s="90" t="s">
        <v>34</v>
      </c>
      <c r="B8" s="91">
        <f>Assumptions!B81</f>
        <v>1.1000000000000001</v>
      </c>
      <c r="C8" s="91">
        <f>Assumptions!C81</f>
        <v>1</v>
      </c>
      <c r="D8" s="91">
        <f>Assumptions!D81</f>
        <v>0.9</v>
      </c>
      <c r="E8" s="56"/>
      <c r="F8" s="92" t="s">
        <v>231</v>
      </c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88"/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E8" s="148"/>
      <c r="AF8" s="148"/>
      <c r="AG8" s="148"/>
      <c r="AH8" s="148"/>
      <c r="AI8" s="148"/>
      <c r="AJ8" s="148"/>
      <c r="AK8" s="148"/>
    </row>
    <row r="9" spans="1:37" ht="18" customHeight="1" x14ac:dyDescent="0.2">
      <c r="A9" s="90" t="s">
        <v>35</v>
      </c>
      <c r="B9" s="91">
        <f>Assumptions!B82</f>
        <v>1.1499999999999999</v>
      </c>
      <c r="C9" s="91">
        <f>Assumptions!C82</f>
        <v>1</v>
      </c>
      <c r="D9" s="91">
        <f>Assumptions!D82</f>
        <v>0.85</v>
      </c>
      <c r="E9" s="56"/>
      <c r="F9" s="92" t="s">
        <v>232</v>
      </c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  <c r="AE9" s="148"/>
      <c r="AF9" s="148"/>
      <c r="AG9" s="148"/>
      <c r="AH9" s="148"/>
      <c r="AI9" s="148"/>
      <c r="AJ9" s="148"/>
      <c r="AK9" s="148"/>
    </row>
    <row r="10" spans="1:37" ht="18" customHeight="1" x14ac:dyDescent="0.2">
      <c r="A10" s="90" t="s">
        <v>36</v>
      </c>
      <c r="B10" s="91">
        <f>Assumptions!B83</f>
        <v>1.1499999999999999</v>
      </c>
      <c r="C10" s="91">
        <f>Assumptions!C83</f>
        <v>1</v>
      </c>
      <c r="D10" s="91">
        <f>Assumptions!D83</f>
        <v>0.85</v>
      </c>
      <c r="E10" s="56"/>
      <c r="F10" s="92" t="s">
        <v>233</v>
      </c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  <c r="AE10" s="148"/>
      <c r="AF10" s="148"/>
      <c r="AG10" s="148"/>
      <c r="AH10" s="148"/>
      <c r="AI10" s="148"/>
      <c r="AJ10" s="148"/>
      <c r="AK10" s="148"/>
    </row>
    <row r="11" spans="1:37" ht="18" customHeight="1" x14ac:dyDescent="0.2">
      <c r="A11" s="90" t="s">
        <v>37</v>
      </c>
      <c r="B11" s="91">
        <f>Assumptions!B84</f>
        <v>1.1499999999999999</v>
      </c>
      <c r="C11" s="91">
        <f>Assumptions!C84</f>
        <v>1</v>
      </c>
      <c r="D11" s="91">
        <f>Assumptions!D84</f>
        <v>0.85</v>
      </c>
      <c r="E11" s="56"/>
      <c r="F11" s="92" t="s">
        <v>234</v>
      </c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8"/>
      <c r="AE11" s="148"/>
      <c r="AF11" s="148"/>
      <c r="AG11" s="148"/>
      <c r="AH11" s="148"/>
      <c r="AI11" s="148"/>
      <c r="AJ11" s="148"/>
      <c r="AK11" s="148"/>
    </row>
    <row r="12" spans="1:37" ht="18" customHeight="1" x14ac:dyDescent="0.2">
      <c r="A12" s="90" t="s">
        <v>38</v>
      </c>
      <c r="B12" s="93">
        <f>Assumptions!B85</f>
        <v>0.03</v>
      </c>
      <c r="C12" s="93">
        <f>Assumptions!C85</f>
        <v>0.05</v>
      </c>
      <c r="D12" s="93">
        <f>Assumptions!D85</f>
        <v>7.0000000000000007E-2</v>
      </c>
      <c r="E12" s="56"/>
      <c r="F12" s="92" t="s">
        <v>235</v>
      </c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E12" s="148"/>
      <c r="AF12" s="148"/>
      <c r="AG12" s="148"/>
      <c r="AH12" s="148"/>
      <c r="AI12" s="148"/>
      <c r="AJ12" s="148"/>
      <c r="AK12" s="148"/>
    </row>
    <row r="13" spans="1:37" ht="13.5" customHeight="1" x14ac:dyDescent="0.2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E13" s="148"/>
      <c r="AF13" s="148"/>
      <c r="AG13" s="148"/>
      <c r="AH13" s="148"/>
      <c r="AI13" s="148"/>
      <c r="AJ13" s="148"/>
      <c r="AK13" s="148"/>
    </row>
    <row r="14" spans="1:37" ht="19.5" customHeight="1" x14ac:dyDescent="0.15">
      <c r="A14" s="131" t="s">
        <v>236</v>
      </c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E14" s="148"/>
      <c r="AF14" s="148"/>
      <c r="AG14" s="148"/>
      <c r="AH14" s="148"/>
      <c r="AI14" s="148"/>
      <c r="AJ14" s="148"/>
      <c r="AK14" s="148"/>
    </row>
    <row r="15" spans="1:37" ht="24" customHeight="1" x14ac:dyDescent="0.2">
      <c r="A15" s="36" t="s">
        <v>28</v>
      </c>
      <c r="B15" s="1" t="s">
        <v>29</v>
      </c>
      <c r="C15" s="1" t="s">
        <v>30</v>
      </c>
      <c r="D15" s="1" t="s">
        <v>31</v>
      </c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</row>
    <row r="16" spans="1:37" ht="18" customHeight="1" x14ac:dyDescent="0.2">
      <c r="A16" s="90" t="s">
        <v>237</v>
      </c>
      <c r="B16" s="94">
        <f>Z37</f>
        <v>46635905.945300132</v>
      </c>
      <c r="C16" s="94">
        <f>'P&amp;L'!$Z$9</f>
        <v>66622722.7790002</v>
      </c>
      <c r="D16" s="94">
        <f>Z77</f>
        <v>86609539.612700254</v>
      </c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</row>
    <row r="17" spans="1:29" ht="18" customHeight="1" x14ac:dyDescent="0.2">
      <c r="A17" s="90" t="s">
        <v>238</v>
      </c>
      <c r="B17" s="94">
        <f>AA37</f>
        <v>328002314.00866771</v>
      </c>
      <c r="C17" s="94">
        <f>'P&amp;L'!$AA$9</f>
        <v>468574734.29809672</v>
      </c>
      <c r="D17" s="94">
        <f>AA77</f>
        <v>609147154.58752584</v>
      </c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</row>
    <row r="18" spans="1:29" ht="18" customHeight="1" x14ac:dyDescent="0.2">
      <c r="A18" s="90" t="s">
        <v>239</v>
      </c>
      <c r="B18" s="94">
        <f>Z41</f>
        <v>40165244.003484219</v>
      </c>
      <c r="C18" s="94">
        <f>Costs!$Z$27</f>
        <v>36512146.2163506</v>
      </c>
      <c r="D18" s="94">
        <f>Z81</f>
        <v>32859048.429216988</v>
      </c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</row>
    <row r="19" spans="1:29" ht="18" customHeight="1" x14ac:dyDescent="0.2">
      <c r="A19" s="90" t="s">
        <v>240</v>
      </c>
      <c r="B19" s="94">
        <f>AA41</f>
        <v>106507019.69846553</v>
      </c>
      <c r="C19" s="94">
        <f>Costs!$AA$27</f>
        <v>95016288.1749724</v>
      </c>
      <c r="D19" s="94">
        <f>AA81</f>
        <v>83525556.651479259</v>
      </c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</row>
    <row r="20" spans="1:29" ht="18" customHeight="1" x14ac:dyDescent="0.2">
      <c r="A20" s="95" t="s">
        <v>241</v>
      </c>
      <c r="B20" s="96">
        <f>Z42</f>
        <v>6470661.9418159276</v>
      </c>
      <c r="C20" s="96">
        <f>'P&amp;L'!$Z$20</f>
        <v>30110576.5626496</v>
      </c>
      <c r="D20" s="96">
        <f>Z82</f>
        <v>53750491.183483273</v>
      </c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</row>
    <row r="21" spans="1:29" ht="18" customHeight="1" x14ac:dyDescent="0.2">
      <c r="A21" s="95" t="s">
        <v>242</v>
      </c>
      <c r="B21" s="96">
        <f>AA42</f>
        <v>221495294.31020221</v>
      </c>
      <c r="C21" s="96">
        <f>'P&amp;L'!$AA$20</f>
        <v>373558446.12312436</v>
      </c>
      <c r="D21" s="96">
        <f>AA82</f>
        <v>525621597.9360466</v>
      </c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</row>
    <row r="22" spans="1:29" ht="18" customHeight="1" x14ac:dyDescent="0.2">
      <c r="A22" s="95" t="s">
        <v>243</v>
      </c>
      <c r="B22" s="96">
        <f>Z50</f>
        <v>-5684895.6108942684</v>
      </c>
      <c r="C22" s="96">
        <f>'Cash Flow'!$Z$19</f>
        <v>15284523.786072211</v>
      </c>
      <c r="D22" s="96">
        <f>Z90</f>
        <v>35826477.045407422</v>
      </c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</row>
    <row r="23" spans="1:29" ht="18" customHeight="1" x14ac:dyDescent="0.2">
      <c r="A23" s="95" t="s">
        <v>244</v>
      </c>
      <c r="B23" s="96">
        <f>AA50</f>
        <v>178116235.44816175</v>
      </c>
      <c r="C23" s="96">
        <f>'Cash Flow'!$AA$19</f>
        <v>299646756.89849949</v>
      </c>
      <c r="D23" s="96">
        <f>AA90</f>
        <v>421177278.34883732</v>
      </c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</row>
    <row r="24" spans="1:29" ht="18" customHeight="1" x14ac:dyDescent="0.2">
      <c r="A24" s="90" t="s">
        <v>245</v>
      </c>
      <c r="B24" s="94">
        <f>SUM(Z52:AA52)</f>
        <v>123688459.95120859</v>
      </c>
      <c r="C24" s="94">
        <f>DCF!$B$20</f>
        <v>232386111.64954817</v>
      </c>
      <c r="D24" s="94">
        <f>SUM(Z92:AA92)</f>
        <v>340694123.17381811</v>
      </c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</row>
    <row r="25" spans="1:29" ht="18" customHeight="1" x14ac:dyDescent="0.2">
      <c r="A25" s="90" t="s">
        <v>246</v>
      </c>
      <c r="B25" s="94">
        <f>(B23*(1+B$12)/(Assumptions!$B$72-B$12))*'Cash Flow'!$Y$21</f>
        <v>749426971.04414451</v>
      </c>
      <c r="C25" s="94">
        <f>DCF!$B$21</f>
        <v>1456616179.3677056</v>
      </c>
      <c r="D25" s="94">
        <f>(D23*(1+D$12)/(Assumptions!$B$72-D$12))*'Cash Flow'!$Y$21</f>
        <v>2407370127.3144011</v>
      </c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</row>
    <row r="26" spans="1:29" ht="18" customHeight="1" x14ac:dyDescent="0.2">
      <c r="A26" s="95" t="s">
        <v>219</v>
      </c>
      <c r="B26" s="96">
        <f>SUM(B24:B25)</f>
        <v>873115430.9953531</v>
      </c>
      <c r="C26" s="96">
        <f>DCF!$B$22</f>
        <v>1689002291.0172539</v>
      </c>
      <c r="D26" s="96">
        <f>SUM(D24:D25)</f>
        <v>2748064250.4882193</v>
      </c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</row>
    <row r="27" spans="1:29" ht="18" customHeight="1" x14ac:dyDescent="0.2">
      <c r="A27" s="90" t="s">
        <v>247</v>
      </c>
      <c r="B27" s="97">
        <f>IFERROR(B25/B26,0)</f>
        <v>0.85833664649563746</v>
      </c>
      <c r="C27" s="97">
        <f>DCF!$B$23</f>
        <v>0.8624121986776071</v>
      </c>
      <c r="D27" s="97">
        <f>IFERROR(D25/D26,0)</f>
        <v>0.87602396009726091</v>
      </c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</row>
    <row r="28" spans="1:29" ht="13.5" customHeight="1" x14ac:dyDescent="0.2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</row>
    <row r="29" spans="1:29" ht="7.5" customHeight="1" x14ac:dyDescent="0.2">
      <c r="A29" s="56"/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</row>
    <row r="30" spans="1:29" ht="7.5" customHeight="1" x14ac:dyDescent="0.2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</row>
    <row r="31" spans="1:29" ht="19.5" customHeight="1" x14ac:dyDescent="0.15">
      <c r="A31" s="131" t="s">
        <v>248</v>
      </c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</row>
    <row r="32" spans="1:29" ht="24" customHeight="1" x14ac:dyDescent="0.2">
      <c r="A32" s="36" t="s">
        <v>28</v>
      </c>
      <c r="B32" s="1" t="s">
        <v>52</v>
      </c>
      <c r="C32" s="1" t="s">
        <v>53</v>
      </c>
      <c r="D32" s="1" t="s">
        <v>54</v>
      </c>
      <c r="E32" s="1" t="s">
        <v>55</v>
      </c>
      <c r="F32" s="1" t="s">
        <v>56</v>
      </c>
      <c r="G32" s="1" t="s">
        <v>57</v>
      </c>
      <c r="H32" s="1" t="s">
        <v>58</v>
      </c>
      <c r="I32" s="1" t="s">
        <v>59</v>
      </c>
      <c r="J32" s="1" t="s">
        <v>60</v>
      </c>
      <c r="K32" s="1" t="s">
        <v>61</v>
      </c>
      <c r="L32" s="1" t="s">
        <v>62</v>
      </c>
      <c r="M32" s="1" t="s">
        <v>63</v>
      </c>
      <c r="N32" s="1" t="s">
        <v>64</v>
      </c>
      <c r="O32" s="1" t="s">
        <v>65</v>
      </c>
      <c r="P32" s="1" t="s">
        <v>66</v>
      </c>
      <c r="Q32" s="1" t="s">
        <v>67</v>
      </c>
      <c r="R32" s="1" t="s">
        <v>68</v>
      </c>
      <c r="S32" s="1" t="s">
        <v>69</v>
      </c>
      <c r="T32" s="1" t="s">
        <v>70</v>
      </c>
      <c r="U32" s="1" t="s">
        <v>71</v>
      </c>
      <c r="V32" s="1" t="s">
        <v>72</v>
      </c>
      <c r="W32" s="1" t="s">
        <v>73</v>
      </c>
      <c r="X32" s="1" t="s">
        <v>74</v>
      </c>
      <c r="Y32" s="1" t="s">
        <v>75</v>
      </c>
      <c r="Z32" s="1" t="s">
        <v>76</v>
      </c>
      <c r="AA32" s="1" t="s">
        <v>77</v>
      </c>
      <c r="AB32" s="98"/>
      <c r="AC32" s="98"/>
    </row>
    <row r="33" spans="1:29" ht="7.5" customHeight="1" x14ac:dyDescent="0.2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</row>
    <row r="34" spans="1:29" ht="19.5" customHeight="1" x14ac:dyDescent="0.15">
      <c r="A34" s="131" t="s">
        <v>249</v>
      </c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</row>
    <row r="35" spans="1:29" ht="18" customHeight="1" x14ac:dyDescent="0.2">
      <c r="A35" s="90" t="s">
        <v>125</v>
      </c>
      <c r="B35" s="94">
        <f>'P&amp;L'!B7*$B$6</f>
        <v>0</v>
      </c>
      <c r="C35" s="94">
        <f>'P&amp;L'!C7*$B$6</f>
        <v>0</v>
      </c>
      <c r="D35" s="94">
        <f>'P&amp;L'!D7*$B$6</f>
        <v>0</v>
      </c>
      <c r="E35" s="94">
        <f>'P&amp;L'!E7*$B$6</f>
        <v>90090</v>
      </c>
      <c r="F35" s="94">
        <f>'P&amp;L'!F7*$B$6</f>
        <v>269819.54999999993</v>
      </c>
      <c r="G35" s="94">
        <f>'P&amp;L'!G7*$B$6</f>
        <v>539024.23574999999</v>
      </c>
      <c r="H35" s="94">
        <f>'P&amp;L'!H7*$B$6</f>
        <v>897826.88370374998</v>
      </c>
      <c r="I35" s="94">
        <f>'P&amp;L'!I7*$B$6</f>
        <v>1346639.6406900936</v>
      </c>
      <c r="J35" s="94">
        <f>'P&amp;L'!J7*$B$6</f>
        <v>1886166.9405955314</v>
      </c>
      <c r="K35" s="94">
        <f>'P&amp;L'!K7*$B$6</f>
        <v>2517409.3730997406</v>
      </c>
      <c r="L35" s="94">
        <f>'P&amp;L'!L7*$B$6</f>
        <v>3241668.4723182614</v>
      </c>
      <c r="M35" s="94">
        <f>'P&amp;L'!M7*$B$6</f>
        <v>4060552.4460922382</v>
      </c>
      <c r="N35" s="94">
        <f>'P&amp;L'!N7*$B$6</f>
        <v>4975982.8696332183</v>
      </c>
      <c r="O35" s="94">
        <f>'P&amp;L'!O7*$B$6</f>
        <v>5990202.3702910133</v>
      </c>
      <c r="P35" s="94">
        <f>'P&amp;L'!P7*$B$6</f>
        <v>7105783.3333742637</v>
      </c>
      <c r="Q35" s="94">
        <f>'P&amp;L'!Q7*$B$6</f>
        <v>8319652.0421278356</v>
      </c>
      <c r="R35" s="94">
        <f>'P&amp;L'!R7*$B$6</f>
        <v>9628965.4363620523</v>
      </c>
      <c r="S35" s="94">
        <f>'P&amp;L'!S7*$B$6</f>
        <v>11031101.097215351</v>
      </c>
      <c r="T35" s="94">
        <f>'P&amp;L'!T7*$B$6</f>
        <v>12523647.776718715</v>
      </c>
      <c r="U35" s="94">
        <f>'P&amp;L'!U7*$B$6</f>
        <v>14104396.445931319</v>
      </c>
      <c r="V35" s="94">
        <f>'P&amp;L'!V7*$B$6</f>
        <v>15771331.836754929</v>
      </c>
      <c r="W35" s="94">
        <f>'P&amp;L'!W7*$B$6</f>
        <v>17522624.453806482</v>
      </c>
      <c r="X35" s="94">
        <f>'P&amp;L'!X7*$B$6</f>
        <v>19356623.033937193</v>
      </c>
      <c r="Y35" s="94">
        <f>'P&amp;L'!Y7*$B$6</f>
        <v>21271847.43213575</v>
      </c>
      <c r="Z35" s="94">
        <f t="shared" ref="Z35:Z50" si="0">SUM(B35:M35)</f>
        <v>14849197.542249616</v>
      </c>
      <c r="AA35" s="94">
        <f t="shared" ref="AA35:AA50" si="1">SUM(N35:Y35)</f>
        <v>147602158.12828812</v>
      </c>
      <c r="AB35" s="88"/>
      <c r="AC35" s="88"/>
    </row>
    <row r="36" spans="1:29" ht="18" customHeight="1" x14ac:dyDescent="0.2">
      <c r="A36" s="90" t="s">
        <v>126</v>
      </c>
      <c r="B36" s="94">
        <f>'P&amp;L'!B8*$B$7</f>
        <v>225450.22499999998</v>
      </c>
      <c r="C36" s="94">
        <f>'P&amp;L'!C8*$B$7</f>
        <v>459918.45899999997</v>
      </c>
      <c r="D36" s="94">
        <f>'P&amp;L'!D8*$B$7</f>
        <v>704035.96263000008</v>
      </c>
      <c r="E36" s="94">
        <f>'P&amp;L'!E8*$B$7</f>
        <v>1026600.6310560001</v>
      </c>
      <c r="F36" s="94">
        <f>'P&amp;L'!F8*$B$7</f>
        <v>1427636.763749196</v>
      </c>
      <c r="G36" s="94">
        <f>'P&amp;L'!G8*$B$7</f>
        <v>1907434.0951636368</v>
      </c>
      <c r="H36" s="94">
        <f>'P&amp;L'!H8*$B$7</f>
        <v>2466549.9249745924</v>
      </c>
      <c r="I36" s="94">
        <f>'P&amp;L'!I8*$B$7</f>
        <v>3105812.0778644476</v>
      </c>
      <c r="J36" s="94">
        <f>'P&amp;L'!J8*$B$7</f>
        <v>3826322.7073035189</v>
      </c>
      <c r="K36" s="94">
        <f>'P&amp;L'!K8*$B$7</f>
        <v>4629462.9604110615</v>
      </c>
      <c r="L36" s="94">
        <f>'P&amp;L'!L8*$B$7</f>
        <v>5516898.5236892644</v>
      </c>
      <c r="M36" s="94">
        <f>'P&amp;L'!M8*$B$7</f>
        <v>6490586.072208805</v>
      </c>
      <c r="N36" s="94">
        <f>'P&amp;L'!N8*$B$7</f>
        <v>7537801.633399101</v>
      </c>
      <c r="O36" s="94">
        <f>'P&amp;L'!O8*$B$7</f>
        <v>8660133.3151277527</v>
      </c>
      <c r="P36" s="94">
        <f>'P&amp;L'!P8*$B$7</f>
        <v>9859418.9694253393</v>
      </c>
      <c r="Q36" s="94">
        <f>'P&amp;L'!Q8*$B$7</f>
        <v>11133225.861328389</v>
      </c>
      <c r="R36" s="94">
        <f>'P&amp;L'!R8*$B$7</f>
        <v>12479316.502718261</v>
      </c>
      <c r="S36" s="94">
        <f>'P&amp;L'!S8*$B$7</f>
        <v>13895639.965511207</v>
      </c>
      <c r="T36" s="94">
        <f>'P&amp;L'!T8*$B$7</f>
        <v>15380323.671371669</v>
      </c>
      <c r="U36" s="94">
        <f>'P&amp;L'!U8*$B$7</f>
        <v>16931665.634871263</v>
      </c>
      <c r="V36" s="94">
        <f>'P&amp;L'!V8*$B$7</f>
        <v>18548127.138194773</v>
      </c>
      <c r="W36" s="94">
        <f>'P&amp;L'!W8*$B$7</f>
        <v>20228325.816614524</v>
      </c>
      <c r="X36" s="94">
        <f>'P&amp;L'!X8*$B$7</f>
        <v>21971029.135019548</v>
      </c>
      <c r="Y36" s="94">
        <f>'P&amp;L'!Y8*$B$7</f>
        <v>23775148.23679778</v>
      </c>
      <c r="Z36" s="94">
        <f t="shared" si="0"/>
        <v>31786708.403050527</v>
      </c>
      <c r="AA36" s="94">
        <f t="shared" si="1"/>
        <v>180400155.88037959</v>
      </c>
      <c r="AB36" s="88"/>
      <c r="AC36" s="88"/>
    </row>
    <row r="37" spans="1:29" ht="18" customHeight="1" x14ac:dyDescent="0.2">
      <c r="A37" s="95" t="s">
        <v>127</v>
      </c>
      <c r="B37" s="96">
        <f t="shared" ref="B37:Y37" si="2">SUM(B35:B36)</f>
        <v>225450.22499999998</v>
      </c>
      <c r="C37" s="96">
        <f t="shared" si="2"/>
        <v>459918.45899999997</v>
      </c>
      <c r="D37" s="96">
        <f t="shared" si="2"/>
        <v>704035.96263000008</v>
      </c>
      <c r="E37" s="96">
        <f t="shared" si="2"/>
        <v>1116690.631056</v>
      </c>
      <c r="F37" s="96">
        <f t="shared" si="2"/>
        <v>1697456.313749196</v>
      </c>
      <c r="G37" s="96">
        <f t="shared" si="2"/>
        <v>2446458.3309136368</v>
      </c>
      <c r="H37" s="96">
        <f t="shared" si="2"/>
        <v>3364376.8086783425</v>
      </c>
      <c r="I37" s="96">
        <f t="shared" si="2"/>
        <v>4452451.7185545415</v>
      </c>
      <c r="J37" s="96">
        <f t="shared" si="2"/>
        <v>5712489.6478990503</v>
      </c>
      <c r="K37" s="96">
        <f t="shared" si="2"/>
        <v>7146872.3335108021</v>
      </c>
      <c r="L37" s="96">
        <f t="shared" si="2"/>
        <v>8758566.9960075263</v>
      </c>
      <c r="M37" s="96">
        <f t="shared" si="2"/>
        <v>10551138.518301044</v>
      </c>
      <c r="N37" s="96">
        <f t="shared" si="2"/>
        <v>12513784.503032319</v>
      </c>
      <c r="O37" s="96">
        <f t="shared" si="2"/>
        <v>14650335.685418766</v>
      </c>
      <c r="P37" s="96">
        <f t="shared" si="2"/>
        <v>16965202.302799605</v>
      </c>
      <c r="Q37" s="96">
        <f t="shared" si="2"/>
        <v>19452877.903456226</v>
      </c>
      <c r="R37" s="96">
        <f t="shared" si="2"/>
        <v>22108281.939080313</v>
      </c>
      <c r="S37" s="96">
        <f t="shared" si="2"/>
        <v>24926741.062726557</v>
      </c>
      <c r="T37" s="96">
        <f t="shared" si="2"/>
        <v>27903971.448090382</v>
      </c>
      <c r="U37" s="96">
        <f t="shared" si="2"/>
        <v>31036062.080802582</v>
      </c>
      <c r="V37" s="96">
        <f t="shared" si="2"/>
        <v>34319458.974949703</v>
      </c>
      <c r="W37" s="96">
        <f t="shared" si="2"/>
        <v>37750950.270421006</v>
      </c>
      <c r="X37" s="96">
        <f t="shared" si="2"/>
        <v>41327652.168956742</v>
      </c>
      <c r="Y37" s="96">
        <f t="shared" si="2"/>
        <v>45046995.668933526</v>
      </c>
      <c r="Z37" s="96">
        <f t="shared" si="0"/>
        <v>46635905.945300132</v>
      </c>
      <c r="AA37" s="96">
        <f t="shared" si="1"/>
        <v>328002314.00866771</v>
      </c>
      <c r="AB37" s="88"/>
      <c r="AC37" s="88"/>
    </row>
    <row r="38" spans="1:29" ht="18" customHeight="1" x14ac:dyDescent="0.2">
      <c r="A38" s="90" t="s">
        <v>143</v>
      </c>
      <c r="B38" s="94">
        <f>Costs!B15*$B$8</f>
        <v>2200000</v>
      </c>
      <c r="C38" s="94">
        <f>Costs!C15*$B$8</f>
        <v>2200000</v>
      </c>
      <c r="D38" s="94">
        <f>Costs!D15*$B$8</f>
        <v>2200000</v>
      </c>
      <c r="E38" s="94">
        <f>Costs!E15*$B$8</f>
        <v>2200000</v>
      </c>
      <c r="F38" s="94">
        <f>Costs!F15*$B$8</f>
        <v>2200000</v>
      </c>
      <c r="G38" s="94">
        <f>Costs!G15*$B$8</f>
        <v>2200000</v>
      </c>
      <c r="H38" s="94">
        <f>Costs!H15*$B$8</f>
        <v>2860000</v>
      </c>
      <c r="I38" s="94">
        <f>Costs!I15*$B$8</f>
        <v>2860000</v>
      </c>
      <c r="J38" s="94">
        <f>Costs!J15*$B$8</f>
        <v>2860000</v>
      </c>
      <c r="K38" s="94">
        <f>Costs!K15*$B$8</f>
        <v>2860000</v>
      </c>
      <c r="L38" s="94">
        <f>Costs!L15*$B$8</f>
        <v>2860000</v>
      </c>
      <c r="M38" s="94">
        <f>Costs!M15*$B$8</f>
        <v>2860000</v>
      </c>
      <c r="N38" s="94">
        <f>Costs!N15*$B$8</f>
        <v>3520000.0000000005</v>
      </c>
      <c r="O38" s="94">
        <f>Costs!O15*$B$8</f>
        <v>3520000.0000000005</v>
      </c>
      <c r="P38" s="94">
        <f>Costs!P15*$B$8</f>
        <v>3520000.0000000005</v>
      </c>
      <c r="Q38" s="94">
        <f>Costs!Q15*$B$8</f>
        <v>3520000.0000000005</v>
      </c>
      <c r="R38" s="94">
        <f>Costs!R15*$B$8</f>
        <v>3520000.0000000005</v>
      </c>
      <c r="S38" s="94">
        <f>Costs!S15*$B$8</f>
        <v>3520000.0000000005</v>
      </c>
      <c r="T38" s="94">
        <f>Costs!T15*$B$8</f>
        <v>3520000.0000000005</v>
      </c>
      <c r="U38" s="94">
        <f>Costs!U15*$B$8</f>
        <v>3520000.0000000005</v>
      </c>
      <c r="V38" s="94">
        <f>Costs!V15*$B$8</f>
        <v>3520000.0000000005</v>
      </c>
      <c r="W38" s="94">
        <f>Costs!W15*$B$8</f>
        <v>3520000.0000000005</v>
      </c>
      <c r="X38" s="94">
        <f>Costs!X15*$B$8</f>
        <v>3520000.0000000005</v>
      </c>
      <c r="Y38" s="94">
        <f>Costs!Y15*$B$8</f>
        <v>3520000.0000000005</v>
      </c>
      <c r="Z38" s="94">
        <f t="shared" si="0"/>
        <v>30360000</v>
      </c>
      <c r="AA38" s="94">
        <f t="shared" si="1"/>
        <v>42240000.000000007</v>
      </c>
      <c r="AB38" s="88"/>
      <c r="AC38" s="88"/>
    </row>
    <row r="39" spans="1:29" ht="18" customHeight="1" x14ac:dyDescent="0.2">
      <c r="A39" s="90" t="s">
        <v>146</v>
      </c>
      <c r="B39" s="94">
        <f>Costs!B18*$B$9</f>
        <v>125925.44901588911</v>
      </c>
      <c r="C39" s="94">
        <f>Costs!C18*$B$9</f>
        <v>136150.59547597932</v>
      </c>
      <c r="D39" s="94">
        <f>Costs!D18*$B$9</f>
        <v>147206.02382862888</v>
      </c>
      <c r="E39" s="94">
        <f>Costs!E18*$B$9</f>
        <v>159159.15296351351</v>
      </c>
      <c r="F39" s="94">
        <f>Costs!F18*$B$9</f>
        <v>172082.87618415084</v>
      </c>
      <c r="G39" s="94">
        <f>Costs!G18*$B$9</f>
        <v>186056.00573030388</v>
      </c>
      <c r="H39" s="94">
        <f>Costs!H18*$B$9</f>
        <v>201163.75339560458</v>
      </c>
      <c r="I39" s="94">
        <f>Costs!I18*$B$9</f>
        <v>217498.25017132761</v>
      </c>
      <c r="J39" s="94">
        <f>Costs!J18*$B$9</f>
        <v>235159.10808523945</v>
      </c>
      <c r="K39" s="94">
        <f>Costs!K18*$B$9</f>
        <v>254254.02766176092</v>
      </c>
      <c r="L39" s="94">
        <f>Costs!L18*$B$9</f>
        <v>274899.45470789587</v>
      </c>
      <c r="M39" s="94">
        <f>Costs!M18*$B$9</f>
        <v>297221.29043017706</v>
      </c>
      <c r="N39" s="94">
        <f>Costs!N18*$B$9</f>
        <v>3833333.333333333</v>
      </c>
      <c r="O39" s="94">
        <f>Costs!O18*$B$9</f>
        <v>3833333.333333333</v>
      </c>
      <c r="P39" s="94">
        <f>Costs!P18*$B$9</f>
        <v>3833333.333333333</v>
      </c>
      <c r="Q39" s="94">
        <f>Costs!Q18*$B$9</f>
        <v>3833333.333333333</v>
      </c>
      <c r="R39" s="94">
        <f>Costs!R18*$B$9</f>
        <v>3833333.333333333</v>
      </c>
      <c r="S39" s="94">
        <f>Costs!S18*$B$9</f>
        <v>3833333.333333333</v>
      </c>
      <c r="T39" s="94">
        <f>Costs!T18*$B$9</f>
        <v>3833333.333333333</v>
      </c>
      <c r="U39" s="94">
        <f>Costs!U18*$B$9</f>
        <v>3833333.333333333</v>
      </c>
      <c r="V39" s="94">
        <f>Costs!V18*$B$9</f>
        <v>3833333.333333333</v>
      </c>
      <c r="W39" s="94">
        <f>Costs!W18*$B$9</f>
        <v>3833333.333333333</v>
      </c>
      <c r="X39" s="94">
        <f>Costs!X18*$B$9</f>
        <v>3833333.333333333</v>
      </c>
      <c r="Y39" s="94">
        <f>Costs!Y18*$B$9</f>
        <v>3833333.333333333</v>
      </c>
      <c r="Z39" s="94">
        <f t="shared" si="0"/>
        <v>2406775.9876504713</v>
      </c>
      <c r="AA39" s="94">
        <f t="shared" si="1"/>
        <v>46000000</v>
      </c>
      <c r="AB39" s="88"/>
      <c r="AC39" s="88"/>
    </row>
    <row r="40" spans="1:29" ht="18" customHeight="1" x14ac:dyDescent="0.2">
      <c r="A40" s="90" t="s">
        <v>169</v>
      </c>
      <c r="B40" s="94">
        <f>Costs!B21*$B$10</f>
        <v>57835.833670352251</v>
      </c>
      <c r="C40" s="94">
        <f>Costs!C21*$B$10</f>
        <v>114705.27566729746</v>
      </c>
      <c r="D40" s="94">
        <f>Costs!D21*$B$10</f>
        <v>170949.00607592147</v>
      </c>
      <c r="E40" s="94">
        <f>Costs!E21*$B$10</f>
        <v>226840.79538707598</v>
      </c>
      <c r="F40" s="94">
        <f>Costs!F21*$B$10</f>
        <v>282646.5211192969</v>
      </c>
      <c r="G40" s="94">
        <f>Costs!G21*$B$10</f>
        <v>338625.61048395012</v>
      </c>
      <c r="H40" s="94">
        <f>Costs!H21*$B$10</f>
        <v>395032.41777544067</v>
      </c>
      <c r="I40" s="94">
        <f>Costs!I21*$B$10</f>
        <v>452117.5446435443</v>
      </c>
      <c r="J40" s="94">
        <f>Costs!J21*$B$10</f>
        <v>510129.11093212187</v>
      </c>
      <c r="K40" s="94">
        <f>Costs!K21*$B$10</f>
        <v>569313.98334410519</v>
      </c>
      <c r="L40" s="94">
        <f>Costs!L21*$B$10</f>
        <v>629918.96881346707</v>
      </c>
      <c r="M40" s="94">
        <f>Costs!M21*$B$10</f>
        <v>692191.9791279796</v>
      </c>
      <c r="N40" s="94">
        <f>Costs!N21*$B$10</f>
        <v>752544.35458643816</v>
      </c>
      <c r="O40" s="94">
        <f>Costs!O21*$B$10</f>
        <v>811194.0432378737</v>
      </c>
      <c r="P40" s="94">
        <f>Costs!P21*$B$10</f>
        <v>868343.77636334265</v>
      </c>
      <c r="Q40" s="94">
        <f>Costs!Q21*$B$10</f>
        <v>924182.31071204168</v>
      </c>
      <c r="R40" s="94">
        <f>Costs!R21*$B$10</f>
        <v>978885.57351001096</v>
      </c>
      <c r="S40" s="94">
        <f>Costs!S21*$B$10</f>
        <v>1032617.7179969521</v>
      </c>
      <c r="T40" s="94">
        <f>Costs!T21*$B$10</f>
        <v>1085532.0966294957</v>
      </c>
      <c r="U40" s="94">
        <f>Costs!U21*$B$10</f>
        <v>1137772.1585213395</v>
      </c>
      <c r="V40" s="94">
        <f>Costs!V21*$B$10</f>
        <v>1189472.2771680823</v>
      </c>
      <c r="W40" s="94">
        <f>Costs!W21*$B$10</f>
        <v>1240758.5140237033</v>
      </c>
      <c r="X40" s="94">
        <f>Costs!X21*$B$10</f>
        <v>1291749.3230531379</v>
      </c>
      <c r="Y40" s="94">
        <f>Costs!Y21*$B$10</f>
        <v>1342556.2009782102</v>
      </c>
      <c r="Z40" s="94">
        <f t="shared" si="0"/>
        <v>4440307.0470405528</v>
      </c>
      <c r="AA40" s="94">
        <f t="shared" si="1"/>
        <v>12655608.346780628</v>
      </c>
      <c r="AB40" s="88"/>
      <c r="AC40" s="88"/>
    </row>
    <row r="41" spans="1:29" ht="18" customHeight="1" x14ac:dyDescent="0.2">
      <c r="A41" s="95" t="s">
        <v>250</v>
      </c>
      <c r="B41" s="96">
        <f>SUM(B38:B40)+Costs!B24+Costs!B25</f>
        <v>2548833.8914698116</v>
      </c>
      <c r="C41" s="96">
        <f>SUM(C38:C40)+Costs!C24+Costs!C25</f>
        <v>2630763.9865347459</v>
      </c>
      <c r="D41" s="96">
        <f>SUM(D38:D40)+Costs!D24+Costs!D25</f>
        <v>2712735.4227939211</v>
      </c>
      <c r="E41" s="96">
        <f>SUM(E38:E40)+Costs!E24+Costs!E25</f>
        <v>2795160.8080167836</v>
      </c>
      <c r="F41" s="96">
        <f>SUM(F38:F40)+Costs!F24+Costs!F25</f>
        <v>2878448.2723780475</v>
      </c>
      <c r="G41" s="96">
        <f>SUM(G38:G40)+Costs!G24+Costs!G25</f>
        <v>2963003.7319926759</v>
      </c>
      <c r="H41" s="96">
        <f>SUM(H38:H40)+Costs!H24+Costs!H25</f>
        <v>3709233.1062428989</v>
      </c>
      <c r="I41" s="96">
        <f>SUM(I38:I40)+Costs!I24+Costs!I25</f>
        <v>3797544.5021131877</v>
      </c>
      <c r="J41" s="96">
        <f>SUM(J38:J40)+Costs!J24+Costs!J25</f>
        <v>3888350.3783909585</v>
      </c>
      <c r="K41" s="96">
        <f>SUM(K38:K40)+Costs!K24+Costs!K25</f>
        <v>3982069.7023130236</v>
      </c>
      <c r="L41" s="96">
        <f>SUM(L38:L40)+Costs!L24+Costs!L25</f>
        <v>4079130.1110379198</v>
      </c>
      <c r="M41" s="96">
        <f>SUM(M38:M40)+Costs!M24+Costs!M25</f>
        <v>4179970.0902002384</v>
      </c>
      <c r="N41" s="96">
        <f>SUM(N38:N40)+Costs!N24+Costs!N25</f>
        <v>8486808.698366316</v>
      </c>
      <c r="O41" s="96">
        <f>SUM(O38:O40)+Costs!O24+Costs!O25</f>
        <v>8562288.2976742499</v>
      </c>
      <c r="P41" s="96">
        <f>SUM(P38:P40)+Costs!P24+Costs!P25</f>
        <v>8635837.5194357224</v>
      </c>
      <c r="Q41" s="96">
        <f>SUM(Q38:Q40)+Costs!Q24+Costs!Q25</f>
        <v>8707699.2853801344</v>
      </c>
      <c r="R41" s="96">
        <f>SUM(R38:R40)+Costs!R24+Costs!R25</f>
        <v>8778100.0061983913</v>
      </c>
      <c r="S41" s="96">
        <f>SUM(S38:S40)+Costs!S24+Costs!S25</f>
        <v>8847250.9399728905</v>
      </c>
      <c r="T41" s="96">
        <f>SUM(T38:T40)+Costs!T24+Costs!T25</f>
        <v>8915349.4446478151</v>
      </c>
      <c r="U41" s="96">
        <f>SUM(U38:U40)+Costs!U24+Costs!U25</f>
        <v>8982580.1329955794</v>
      </c>
      <c r="V41" s="96">
        <f>SUM(V38:V40)+Costs!V24+Costs!V25</f>
        <v>9049115.9378626924</v>
      </c>
      <c r="W41" s="96">
        <f>SUM(W38:W40)+Costs!W24+Costs!W25</f>
        <v>9115119.0948594902</v>
      </c>
      <c r="X41" s="96">
        <f>SUM(X38:X40)+Costs!X24+Costs!X25</f>
        <v>9180742.0490886774</v>
      </c>
      <c r="Y41" s="96">
        <f>SUM(Y38:Y40)+Costs!Y24+Costs!Y25</f>
        <v>9246128.2919835523</v>
      </c>
      <c r="Z41" s="96">
        <f t="shared" si="0"/>
        <v>40165244.003484219</v>
      </c>
      <c r="AA41" s="96">
        <f t="shared" si="1"/>
        <v>106507019.69846553</v>
      </c>
      <c r="AB41" s="88"/>
      <c r="AC41" s="88"/>
    </row>
    <row r="42" spans="1:29" ht="18" customHeight="1" x14ac:dyDescent="0.2">
      <c r="A42" s="95" t="s">
        <v>172</v>
      </c>
      <c r="B42" s="96">
        <f t="shared" ref="B42:Y42" si="3">B37-B41</f>
        <v>-2323383.6664698115</v>
      </c>
      <c r="C42" s="96">
        <f t="shared" si="3"/>
        <v>-2170845.5275347461</v>
      </c>
      <c r="D42" s="96">
        <f t="shared" si="3"/>
        <v>-2008699.4601639211</v>
      </c>
      <c r="E42" s="96">
        <f t="shared" si="3"/>
        <v>-1678470.1769607835</v>
      </c>
      <c r="F42" s="96">
        <f t="shared" si="3"/>
        <v>-1180991.9586288515</v>
      </c>
      <c r="G42" s="96">
        <f t="shared" si="3"/>
        <v>-516545.40107903909</v>
      </c>
      <c r="H42" s="96">
        <f t="shared" si="3"/>
        <v>-344856.29756455636</v>
      </c>
      <c r="I42" s="96">
        <f t="shared" si="3"/>
        <v>654907.21644135378</v>
      </c>
      <c r="J42" s="96">
        <f t="shared" si="3"/>
        <v>1824139.2695080917</v>
      </c>
      <c r="K42" s="96">
        <f t="shared" si="3"/>
        <v>3164802.6311977785</v>
      </c>
      <c r="L42" s="96">
        <f t="shared" si="3"/>
        <v>4679436.884969607</v>
      </c>
      <c r="M42" s="96">
        <f t="shared" si="3"/>
        <v>6371168.4281008057</v>
      </c>
      <c r="N42" s="96">
        <f t="shared" si="3"/>
        <v>4026975.8046660032</v>
      </c>
      <c r="O42" s="96">
        <f t="shared" si="3"/>
        <v>6088047.3877445161</v>
      </c>
      <c r="P42" s="96">
        <f t="shared" si="3"/>
        <v>8329364.7833638825</v>
      </c>
      <c r="Q42" s="96">
        <f t="shared" si="3"/>
        <v>10745178.618076092</v>
      </c>
      <c r="R42" s="96">
        <f t="shared" si="3"/>
        <v>13330181.932881922</v>
      </c>
      <c r="S42" s="96">
        <f t="shared" si="3"/>
        <v>16079490.122753667</v>
      </c>
      <c r="T42" s="96">
        <f t="shared" si="3"/>
        <v>18988622.003442567</v>
      </c>
      <c r="U42" s="96">
        <f t="shared" si="3"/>
        <v>22053481.947807003</v>
      </c>
      <c r="V42" s="96">
        <f t="shared" si="3"/>
        <v>25270343.037087008</v>
      </c>
      <c r="W42" s="96">
        <f t="shared" si="3"/>
        <v>28635831.175561517</v>
      </c>
      <c r="X42" s="96">
        <f t="shared" si="3"/>
        <v>32146910.119868062</v>
      </c>
      <c r="Y42" s="96">
        <f t="shared" si="3"/>
        <v>35800867.376949973</v>
      </c>
      <c r="Z42" s="96">
        <f t="shared" si="0"/>
        <v>6470661.9418159276</v>
      </c>
      <c r="AA42" s="96">
        <f t="shared" si="1"/>
        <v>221495294.31020221</v>
      </c>
      <c r="AB42" s="88"/>
      <c r="AC42" s="88"/>
    </row>
    <row r="43" spans="1:29" ht="18" customHeight="1" x14ac:dyDescent="0.2">
      <c r="A43" s="90" t="s">
        <v>188</v>
      </c>
      <c r="B43" s="94">
        <f>'P&amp;L'!B22*$B$11</f>
        <v>383333.33333333326</v>
      </c>
      <c r="C43" s="94">
        <f>'P&amp;L'!C22*$B$11</f>
        <v>383333.33333333326</v>
      </c>
      <c r="D43" s="94">
        <f>'P&amp;L'!D22*$B$11</f>
        <v>383333.33333333326</v>
      </c>
      <c r="E43" s="94">
        <f>'P&amp;L'!E22*$B$11</f>
        <v>383333.33333333326</v>
      </c>
      <c r="F43" s="94">
        <f>'P&amp;L'!F22*$B$11</f>
        <v>383333.33333333326</v>
      </c>
      <c r="G43" s="94">
        <f>'P&amp;L'!G22*$B$11</f>
        <v>383333.33333333326</v>
      </c>
      <c r="H43" s="94">
        <f>'P&amp;L'!H22*$B$11</f>
        <v>383333.33333333326</v>
      </c>
      <c r="I43" s="94">
        <f>'P&amp;L'!I22*$B$11</f>
        <v>383333.33333333326</v>
      </c>
      <c r="J43" s="94">
        <f>'P&amp;L'!J22*$B$11</f>
        <v>383333.33333333326</v>
      </c>
      <c r="K43" s="94">
        <f>'P&amp;L'!K22*$B$11</f>
        <v>383333.33333333326</v>
      </c>
      <c r="L43" s="94">
        <f>'P&amp;L'!L22*$B$11</f>
        <v>383333.33333333326</v>
      </c>
      <c r="M43" s="94">
        <f>'P&amp;L'!M22*$B$11</f>
        <v>383333.33333333326</v>
      </c>
      <c r="N43" s="94">
        <f>'P&amp;L'!N22*$B$11</f>
        <v>383333.33333333326</v>
      </c>
      <c r="O43" s="94">
        <f>'P&amp;L'!O22*$B$11</f>
        <v>383333.33333333326</v>
      </c>
      <c r="P43" s="94">
        <f>'P&amp;L'!P22*$B$11</f>
        <v>383333.33333333326</v>
      </c>
      <c r="Q43" s="94">
        <f>'P&amp;L'!Q22*$B$11</f>
        <v>383333.33333333326</v>
      </c>
      <c r="R43" s="94">
        <f>'P&amp;L'!R22*$B$11</f>
        <v>383333.33333333326</v>
      </c>
      <c r="S43" s="94">
        <f>'P&amp;L'!S22*$B$11</f>
        <v>383333.33333333326</v>
      </c>
      <c r="T43" s="94">
        <f>'P&amp;L'!T22*$B$11</f>
        <v>383333.33333333326</v>
      </c>
      <c r="U43" s="94">
        <f>'P&amp;L'!U22*$B$11</f>
        <v>383333.33333333326</v>
      </c>
      <c r="V43" s="94">
        <f>'P&amp;L'!V22*$B$11</f>
        <v>383333.33333333326</v>
      </c>
      <c r="W43" s="94">
        <f>'P&amp;L'!W22*$B$11</f>
        <v>383333.33333333326</v>
      </c>
      <c r="X43" s="94">
        <f>'P&amp;L'!X22*$B$11</f>
        <v>383333.33333333326</v>
      </c>
      <c r="Y43" s="94">
        <f>'P&amp;L'!Y22*$B$11</f>
        <v>383333.33333333326</v>
      </c>
      <c r="Z43" s="94">
        <f t="shared" si="0"/>
        <v>4599999.9999999981</v>
      </c>
      <c r="AA43" s="94">
        <f t="shared" si="1"/>
        <v>4599999.9999999981</v>
      </c>
      <c r="AB43" s="88"/>
      <c r="AC43" s="88"/>
    </row>
    <row r="44" spans="1:29" ht="18" customHeight="1" x14ac:dyDescent="0.2">
      <c r="A44" s="90" t="s">
        <v>175</v>
      </c>
      <c r="B44" s="94">
        <f t="shared" ref="B44:Y44" si="4">B42-B43</f>
        <v>-2706716.9998031445</v>
      </c>
      <c r="C44" s="94">
        <f t="shared" si="4"/>
        <v>-2554178.8608680796</v>
      </c>
      <c r="D44" s="94">
        <f t="shared" si="4"/>
        <v>-2392032.7934972541</v>
      </c>
      <c r="E44" s="94">
        <f t="shared" si="4"/>
        <v>-2061803.5102941168</v>
      </c>
      <c r="F44" s="94">
        <f t="shared" si="4"/>
        <v>-1564325.2919621847</v>
      </c>
      <c r="G44" s="94">
        <f t="shared" si="4"/>
        <v>-899878.73441237235</v>
      </c>
      <c r="H44" s="94">
        <f t="shared" si="4"/>
        <v>-728189.63089788961</v>
      </c>
      <c r="I44" s="94">
        <f t="shared" si="4"/>
        <v>271573.88310802053</v>
      </c>
      <c r="J44" s="94">
        <f t="shared" si="4"/>
        <v>1440805.9361747585</v>
      </c>
      <c r="K44" s="94">
        <f t="shared" si="4"/>
        <v>2781469.2978644455</v>
      </c>
      <c r="L44" s="94">
        <f t="shared" si="4"/>
        <v>4296103.551636274</v>
      </c>
      <c r="M44" s="94">
        <f t="shared" si="4"/>
        <v>5987835.0947674727</v>
      </c>
      <c r="N44" s="94">
        <f t="shared" si="4"/>
        <v>3643642.4713326702</v>
      </c>
      <c r="O44" s="94">
        <f t="shared" si="4"/>
        <v>5704714.0544111831</v>
      </c>
      <c r="P44" s="94">
        <f t="shared" si="4"/>
        <v>7946031.4500305494</v>
      </c>
      <c r="Q44" s="94">
        <f t="shared" si="4"/>
        <v>10361845.284742758</v>
      </c>
      <c r="R44" s="94">
        <f t="shared" si="4"/>
        <v>12946848.599548588</v>
      </c>
      <c r="S44" s="94">
        <f t="shared" si="4"/>
        <v>15696156.789420333</v>
      </c>
      <c r="T44" s="94">
        <f t="shared" si="4"/>
        <v>18605288.670109235</v>
      </c>
      <c r="U44" s="94">
        <f t="shared" si="4"/>
        <v>21670148.614473671</v>
      </c>
      <c r="V44" s="94">
        <f t="shared" si="4"/>
        <v>24887009.703753676</v>
      </c>
      <c r="W44" s="94">
        <f t="shared" si="4"/>
        <v>28252497.842228185</v>
      </c>
      <c r="X44" s="94">
        <f t="shared" si="4"/>
        <v>31763576.78653473</v>
      </c>
      <c r="Y44" s="94">
        <f t="shared" si="4"/>
        <v>35417534.043616638</v>
      </c>
      <c r="Z44" s="94">
        <f t="shared" si="0"/>
        <v>1870661.9418159295</v>
      </c>
      <c r="AA44" s="94">
        <f t="shared" si="1"/>
        <v>216895294.31020218</v>
      </c>
      <c r="AB44" s="88"/>
      <c r="AC44" s="88"/>
    </row>
    <row r="45" spans="1:29" ht="18" customHeight="1" x14ac:dyDescent="0.2">
      <c r="A45" s="90" t="s">
        <v>251</v>
      </c>
      <c r="B45" s="94">
        <f>MAX(B44,0)*Assumptions!$B$69</f>
        <v>0</v>
      </c>
      <c r="C45" s="94">
        <f>MAX(C44,0)*Assumptions!$B$69</f>
        <v>0</v>
      </c>
      <c r="D45" s="94">
        <f>MAX(D44,0)*Assumptions!$B$69</f>
        <v>0</v>
      </c>
      <c r="E45" s="94">
        <f>MAX(E44,0)*Assumptions!$B$69</f>
        <v>0</v>
      </c>
      <c r="F45" s="94">
        <f>MAX(F44,0)*Assumptions!$B$69</f>
        <v>0</v>
      </c>
      <c r="G45" s="94">
        <f>MAX(G44,0)*Assumptions!$B$69</f>
        <v>0</v>
      </c>
      <c r="H45" s="94">
        <f>MAX(H44,0)*Assumptions!$B$69</f>
        <v>0</v>
      </c>
      <c r="I45" s="94">
        <f>MAX(I44,0)*Assumptions!$B$69</f>
        <v>54314.776621604105</v>
      </c>
      <c r="J45" s="94">
        <f>MAX(J44,0)*Assumptions!$B$69</f>
        <v>288161.18723495171</v>
      </c>
      <c r="K45" s="94">
        <f>MAX(K44,0)*Assumptions!$B$69</f>
        <v>556293.85957288917</v>
      </c>
      <c r="L45" s="94">
        <f>MAX(L44,0)*Assumptions!$B$69</f>
        <v>859220.71032725484</v>
      </c>
      <c r="M45" s="94">
        <f>MAX(M44,0)*Assumptions!$B$69</f>
        <v>1197567.0189534945</v>
      </c>
      <c r="N45" s="94">
        <f>MAX(N44,0)*Assumptions!$B$69</f>
        <v>728728.49426653411</v>
      </c>
      <c r="O45" s="94">
        <f>MAX(O44,0)*Assumptions!$B$69</f>
        <v>1140942.8108822366</v>
      </c>
      <c r="P45" s="94">
        <f>MAX(P44,0)*Assumptions!$B$69</f>
        <v>1589206.29000611</v>
      </c>
      <c r="Q45" s="94">
        <f>MAX(Q44,0)*Assumptions!$B$69</f>
        <v>2072369.0569485517</v>
      </c>
      <c r="R45" s="94">
        <f>MAX(R44,0)*Assumptions!$B$69</f>
        <v>2589369.7199097178</v>
      </c>
      <c r="S45" s="94">
        <f>MAX(S44,0)*Assumptions!$B$69</f>
        <v>3139231.3578840666</v>
      </c>
      <c r="T45" s="94">
        <f>MAX(T44,0)*Assumptions!$B$69</f>
        <v>3721057.7340218471</v>
      </c>
      <c r="U45" s="94">
        <f>MAX(U44,0)*Assumptions!$B$69</f>
        <v>4334029.7228947347</v>
      </c>
      <c r="V45" s="94">
        <f>MAX(V44,0)*Assumptions!$B$69</f>
        <v>4977401.9407507358</v>
      </c>
      <c r="W45" s="94">
        <f>MAX(W44,0)*Assumptions!$B$69</f>
        <v>5650499.5684456378</v>
      </c>
      <c r="X45" s="94">
        <f>MAX(X44,0)*Assumptions!$B$69</f>
        <v>6352715.3573069461</v>
      </c>
      <c r="Y45" s="94">
        <f>MAX(Y44,0)*Assumptions!$B$69</f>
        <v>7083506.8087233277</v>
      </c>
      <c r="Z45" s="94">
        <f t="shared" si="0"/>
        <v>2955557.5527101941</v>
      </c>
      <c r="AA45" s="94">
        <f t="shared" si="1"/>
        <v>43379058.862040445</v>
      </c>
      <c r="AB45" s="88"/>
      <c r="AC45" s="88"/>
    </row>
    <row r="46" spans="1:29" ht="18" customHeight="1" x14ac:dyDescent="0.2">
      <c r="A46" s="90" t="s">
        <v>187</v>
      </c>
      <c r="B46" s="94">
        <f t="shared" ref="B46:Y46" si="5">B44-B45</f>
        <v>-2706716.9998031445</v>
      </c>
      <c r="C46" s="94">
        <f t="shared" si="5"/>
        <v>-2554178.8608680796</v>
      </c>
      <c r="D46" s="94">
        <f t="shared" si="5"/>
        <v>-2392032.7934972541</v>
      </c>
      <c r="E46" s="94">
        <f t="shared" si="5"/>
        <v>-2061803.5102941168</v>
      </c>
      <c r="F46" s="94">
        <f t="shared" si="5"/>
        <v>-1564325.2919621847</v>
      </c>
      <c r="G46" s="94">
        <f t="shared" si="5"/>
        <v>-899878.73441237235</v>
      </c>
      <c r="H46" s="94">
        <f t="shared" si="5"/>
        <v>-728189.63089788961</v>
      </c>
      <c r="I46" s="94">
        <f t="shared" si="5"/>
        <v>217259.10648641642</v>
      </c>
      <c r="J46" s="94">
        <f t="shared" si="5"/>
        <v>1152644.7489398068</v>
      </c>
      <c r="K46" s="94">
        <f t="shared" si="5"/>
        <v>2225175.4382915562</v>
      </c>
      <c r="L46" s="94">
        <f t="shared" si="5"/>
        <v>3436882.8413090194</v>
      </c>
      <c r="M46" s="94">
        <f t="shared" si="5"/>
        <v>4790268.075813978</v>
      </c>
      <c r="N46" s="94">
        <f t="shared" si="5"/>
        <v>2914913.977066136</v>
      </c>
      <c r="O46" s="94">
        <f t="shared" si="5"/>
        <v>4563771.2435289463</v>
      </c>
      <c r="P46" s="94">
        <f t="shared" si="5"/>
        <v>6356825.1600244399</v>
      </c>
      <c r="Q46" s="94">
        <f t="shared" si="5"/>
        <v>8289476.2277942058</v>
      </c>
      <c r="R46" s="94">
        <f t="shared" si="5"/>
        <v>10357478.879638869</v>
      </c>
      <c r="S46" s="94">
        <f t="shared" si="5"/>
        <v>12556925.431536267</v>
      </c>
      <c r="T46" s="94">
        <f t="shared" si="5"/>
        <v>14884230.936087389</v>
      </c>
      <c r="U46" s="94">
        <f t="shared" si="5"/>
        <v>17336118.891578935</v>
      </c>
      <c r="V46" s="94">
        <f t="shared" si="5"/>
        <v>19909607.76300294</v>
      </c>
      <c r="W46" s="94">
        <f t="shared" si="5"/>
        <v>22601998.273782548</v>
      </c>
      <c r="X46" s="94">
        <f t="shared" si="5"/>
        <v>25410861.429227784</v>
      </c>
      <c r="Y46" s="94">
        <f t="shared" si="5"/>
        <v>28334027.234893311</v>
      </c>
      <c r="Z46" s="94">
        <f t="shared" si="0"/>
        <v>-1084895.6108942628</v>
      </c>
      <c r="AA46" s="94">
        <f t="shared" si="1"/>
        <v>173516235.44816178</v>
      </c>
      <c r="AB46" s="88"/>
      <c r="AC46" s="88"/>
    </row>
    <row r="47" spans="1:29" ht="18" customHeight="1" x14ac:dyDescent="0.2">
      <c r="A47" s="90" t="s">
        <v>252</v>
      </c>
      <c r="B47" s="94">
        <f t="shared" ref="B47:Y47" si="6">B46+B43</f>
        <v>-2323383.6664698115</v>
      </c>
      <c r="C47" s="94">
        <f t="shared" si="6"/>
        <v>-2170845.5275347466</v>
      </c>
      <c r="D47" s="94">
        <f t="shared" si="6"/>
        <v>-2008699.4601639209</v>
      </c>
      <c r="E47" s="94">
        <f t="shared" si="6"/>
        <v>-1678470.1769607835</v>
      </c>
      <c r="F47" s="94">
        <f t="shared" si="6"/>
        <v>-1180991.9586288515</v>
      </c>
      <c r="G47" s="94">
        <f t="shared" si="6"/>
        <v>-516545.40107903909</v>
      </c>
      <c r="H47" s="94">
        <f t="shared" si="6"/>
        <v>-344856.29756455636</v>
      </c>
      <c r="I47" s="94">
        <f t="shared" si="6"/>
        <v>600592.43981974968</v>
      </c>
      <c r="J47" s="94">
        <f t="shared" si="6"/>
        <v>1535978.0822731401</v>
      </c>
      <c r="K47" s="94">
        <f t="shared" si="6"/>
        <v>2608508.7716248892</v>
      </c>
      <c r="L47" s="94">
        <f t="shared" si="6"/>
        <v>3820216.1746423524</v>
      </c>
      <c r="M47" s="94">
        <f t="shared" si="6"/>
        <v>5173601.409147311</v>
      </c>
      <c r="N47" s="94">
        <f t="shared" si="6"/>
        <v>3298247.310399469</v>
      </c>
      <c r="O47" s="94">
        <f t="shared" si="6"/>
        <v>4947104.5768622793</v>
      </c>
      <c r="P47" s="94">
        <f t="shared" si="6"/>
        <v>6740158.4933577729</v>
      </c>
      <c r="Q47" s="94">
        <f t="shared" si="6"/>
        <v>8672809.5611275397</v>
      </c>
      <c r="R47" s="94">
        <f t="shared" si="6"/>
        <v>10740812.212972203</v>
      </c>
      <c r="S47" s="94">
        <f t="shared" si="6"/>
        <v>12940258.764869601</v>
      </c>
      <c r="T47" s="94">
        <f t="shared" si="6"/>
        <v>15267564.269420722</v>
      </c>
      <c r="U47" s="94">
        <f t="shared" si="6"/>
        <v>17719452.224912267</v>
      </c>
      <c r="V47" s="94">
        <f t="shared" si="6"/>
        <v>20292941.096336272</v>
      </c>
      <c r="W47" s="94">
        <f t="shared" si="6"/>
        <v>22985331.60711588</v>
      </c>
      <c r="X47" s="94">
        <f t="shared" si="6"/>
        <v>25794194.762561116</v>
      </c>
      <c r="Y47" s="94">
        <f t="shared" si="6"/>
        <v>28717360.568226643</v>
      </c>
      <c r="Z47" s="94">
        <f t="shared" si="0"/>
        <v>3515104.3891057335</v>
      </c>
      <c r="AA47" s="94">
        <f t="shared" si="1"/>
        <v>178116235.44816175</v>
      </c>
      <c r="AB47" s="88"/>
      <c r="AC47" s="88"/>
    </row>
    <row r="48" spans="1:29" ht="18" customHeight="1" x14ac:dyDescent="0.2">
      <c r="A48" s="90" t="s">
        <v>253</v>
      </c>
      <c r="B48" s="94">
        <f>-(Costs!B14+Costs!B26)*$B$11</f>
        <v>-9200000</v>
      </c>
      <c r="C48" s="94">
        <f>-(Costs!C14+Costs!C26)*$B$11</f>
        <v>0</v>
      </c>
      <c r="D48" s="94">
        <f>-(Costs!D14+Costs!D26)*$B$11</f>
        <v>0</v>
      </c>
      <c r="E48" s="94">
        <f>-(Costs!E14+Costs!E26)*$B$11</f>
        <v>0</v>
      </c>
      <c r="F48" s="94">
        <f>-(Costs!F14+Costs!F26)*$B$11</f>
        <v>0</v>
      </c>
      <c r="G48" s="94">
        <f>-(Costs!G14+Costs!G26)*$B$11</f>
        <v>0</v>
      </c>
      <c r="H48" s="94">
        <f>-(Costs!H14+Costs!H26)*$B$11</f>
        <v>0</v>
      </c>
      <c r="I48" s="94">
        <f>-(Costs!I14+Costs!I26)*$B$11</f>
        <v>0</v>
      </c>
      <c r="J48" s="94">
        <f>-(Costs!J14+Costs!J26)*$B$11</f>
        <v>0</v>
      </c>
      <c r="K48" s="94">
        <f>-(Costs!K14+Costs!K26)*$B$11</f>
        <v>0</v>
      </c>
      <c r="L48" s="94">
        <f>-(Costs!L14+Costs!L26)*$B$11</f>
        <v>0</v>
      </c>
      <c r="M48" s="94">
        <f>-(Costs!M14+Costs!M26)*$B$11</f>
        <v>0</v>
      </c>
      <c r="N48" s="94">
        <f>-(Costs!N14+Costs!N26)*$B$11</f>
        <v>0</v>
      </c>
      <c r="O48" s="94">
        <f>-(Costs!O14+Costs!O26)*$B$11</f>
        <v>0</v>
      </c>
      <c r="P48" s="94">
        <f>-(Costs!P14+Costs!P26)*$B$11</f>
        <v>0</v>
      </c>
      <c r="Q48" s="94">
        <f>-(Costs!Q14+Costs!Q26)*$B$11</f>
        <v>0</v>
      </c>
      <c r="R48" s="94">
        <f>-(Costs!R14+Costs!R26)*$B$11</f>
        <v>0</v>
      </c>
      <c r="S48" s="94">
        <f>-(Costs!S14+Costs!S26)*$B$11</f>
        <v>0</v>
      </c>
      <c r="T48" s="94">
        <f>-(Costs!T14+Costs!T26)*$B$11</f>
        <v>0</v>
      </c>
      <c r="U48" s="94">
        <f>-(Costs!U14+Costs!U26)*$B$11</f>
        <v>0</v>
      </c>
      <c r="V48" s="94">
        <f>-(Costs!V14+Costs!V26)*$B$11</f>
        <v>0</v>
      </c>
      <c r="W48" s="94">
        <f>-(Costs!W14+Costs!W26)*$B$11</f>
        <v>0</v>
      </c>
      <c r="X48" s="94">
        <f>-(Costs!X14+Costs!X26)*$B$11</f>
        <v>0</v>
      </c>
      <c r="Y48" s="94">
        <f>-(Costs!Y14+Costs!Y26)*$B$11</f>
        <v>0</v>
      </c>
      <c r="Z48" s="94">
        <f t="shared" si="0"/>
        <v>-9200000</v>
      </c>
      <c r="AA48" s="94">
        <f t="shared" si="1"/>
        <v>0</v>
      </c>
      <c r="AB48" s="88"/>
      <c r="AC48" s="88"/>
    </row>
    <row r="49" spans="1:29" ht="18" customHeight="1" x14ac:dyDescent="0.2">
      <c r="A49" s="90" t="s">
        <v>192</v>
      </c>
      <c r="B49" s="94">
        <f>0</f>
        <v>0</v>
      </c>
      <c r="C49" s="94">
        <f>0</f>
        <v>0</v>
      </c>
      <c r="D49" s="94">
        <f>0</f>
        <v>0</v>
      </c>
      <c r="E49" s="94">
        <f>0</f>
        <v>0</v>
      </c>
      <c r="F49" s="94">
        <f>0</f>
        <v>0</v>
      </c>
      <c r="G49" s="94">
        <f>0</f>
        <v>0</v>
      </c>
      <c r="H49" s="94">
        <f>0</f>
        <v>0</v>
      </c>
      <c r="I49" s="94">
        <f>0</f>
        <v>0</v>
      </c>
      <c r="J49" s="94">
        <f>0</f>
        <v>0</v>
      </c>
      <c r="K49" s="94">
        <f>0</f>
        <v>0</v>
      </c>
      <c r="L49" s="94">
        <f>0</f>
        <v>0</v>
      </c>
      <c r="M49" s="94">
        <f>0</f>
        <v>0</v>
      </c>
      <c r="N49" s="94">
        <f>0</f>
        <v>0</v>
      </c>
      <c r="O49" s="94">
        <f>0</f>
        <v>0</v>
      </c>
      <c r="P49" s="94">
        <f>0</f>
        <v>0</v>
      </c>
      <c r="Q49" s="94">
        <f>0</f>
        <v>0</v>
      </c>
      <c r="R49" s="94">
        <f>0</f>
        <v>0</v>
      </c>
      <c r="S49" s="94">
        <f>0</f>
        <v>0</v>
      </c>
      <c r="T49" s="94">
        <f>0</f>
        <v>0</v>
      </c>
      <c r="U49" s="94">
        <f>0</f>
        <v>0</v>
      </c>
      <c r="V49" s="94">
        <f>0</f>
        <v>0</v>
      </c>
      <c r="W49" s="94">
        <f>0</f>
        <v>0</v>
      </c>
      <c r="X49" s="94">
        <f>0</f>
        <v>0</v>
      </c>
      <c r="Y49" s="94">
        <f>0</f>
        <v>0</v>
      </c>
      <c r="Z49" s="94">
        <f t="shared" si="0"/>
        <v>0</v>
      </c>
      <c r="AA49" s="94">
        <f t="shared" si="1"/>
        <v>0</v>
      </c>
      <c r="AB49" s="88"/>
      <c r="AC49" s="88"/>
    </row>
    <row r="50" spans="1:29" ht="18" customHeight="1" x14ac:dyDescent="0.2">
      <c r="A50" s="95" t="s">
        <v>196</v>
      </c>
      <c r="B50" s="96">
        <f t="shared" ref="B50:Y50" si="7">SUM(B47,B48,B49)</f>
        <v>-11523383.666469812</v>
      </c>
      <c r="C50" s="96">
        <f t="shared" si="7"/>
        <v>-2170845.5275347466</v>
      </c>
      <c r="D50" s="96">
        <f t="shared" si="7"/>
        <v>-2008699.4601639209</v>
      </c>
      <c r="E50" s="96">
        <f t="shared" si="7"/>
        <v>-1678470.1769607835</v>
      </c>
      <c r="F50" s="96">
        <f t="shared" si="7"/>
        <v>-1180991.9586288515</v>
      </c>
      <c r="G50" s="96">
        <f t="shared" si="7"/>
        <v>-516545.40107903909</v>
      </c>
      <c r="H50" s="96">
        <f t="shared" si="7"/>
        <v>-344856.29756455636</v>
      </c>
      <c r="I50" s="96">
        <f t="shared" si="7"/>
        <v>600592.43981974968</v>
      </c>
      <c r="J50" s="96">
        <f t="shared" si="7"/>
        <v>1535978.0822731401</v>
      </c>
      <c r="K50" s="96">
        <f t="shared" si="7"/>
        <v>2608508.7716248892</v>
      </c>
      <c r="L50" s="96">
        <f t="shared" si="7"/>
        <v>3820216.1746423524</v>
      </c>
      <c r="M50" s="96">
        <f t="shared" si="7"/>
        <v>5173601.409147311</v>
      </c>
      <c r="N50" s="96">
        <f t="shared" si="7"/>
        <v>3298247.310399469</v>
      </c>
      <c r="O50" s="96">
        <f t="shared" si="7"/>
        <v>4947104.5768622793</v>
      </c>
      <c r="P50" s="96">
        <f t="shared" si="7"/>
        <v>6740158.4933577729</v>
      </c>
      <c r="Q50" s="96">
        <f t="shared" si="7"/>
        <v>8672809.5611275397</v>
      </c>
      <c r="R50" s="96">
        <f t="shared" si="7"/>
        <v>10740812.212972203</v>
      </c>
      <c r="S50" s="96">
        <f t="shared" si="7"/>
        <v>12940258.764869601</v>
      </c>
      <c r="T50" s="96">
        <f t="shared" si="7"/>
        <v>15267564.269420722</v>
      </c>
      <c r="U50" s="96">
        <f t="shared" si="7"/>
        <v>17719452.224912267</v>
      </c>
      <c r="V50" s="96">
        <f t="shared" si="7"/>
        <v>20292941.096336272</v>
      </c>
      <c r="W50" s="96">
        <f t="shared" si="7"/>
        <v>22985331.60711588</v>
      </c>
      <c r="X50" s="96">
        <f t="shared" si="7"/>
        <v>25794194.762561116</v>
      </c>
      <c r="Y50" s="96">
        <f t="shared" si="7"/>
        <v>28717360.568226643</v>
      </c>
      <c r="Z50" s="96">
        <f t="shared" si="0"/>
        <v>-5684895.6108942684</v>
      </c>
      <c r="AA50" s="96">
        <f t="shared" si="1"/>
        <v>178116235.44816175</v>
      </c>
      <c r="AB50" s="88"/>
      <c r="AC50" s="88"/>
    </row>
    <row r="51" spans="1:29" ht="18" customHeight="1" x14ac:dyDescent="0.2">
      <c r="A51" s="90" t="s">
        <v>210</v>
      </c>
      <c r="B51" s="99">
        <f>'Cash Flow'!B21</f>
        <v>0.98492137526088874</v>
      </c>
      <c r="C51" s="99">
        <f>'Cash Flow'!C21</f>
        <v>0.97007011544580046</v>
      </c>
      <c r="D51" s="99">
        <f>'Cash Flow'!D21</f>
        <v>0.95544279220436679</v>
      </c>
      <c r="E51" s="99">
        <f>'Cash Flow'!E21</f>
        <v>0.94103602888102844</v>
      </c>
      <c r="F51" s="99">
        <f>'Cash Flow'!F21</f>
        <v>0.926846499735548</v>
      </c>
      <c r="G51" s="99">
        <f>'Cash Flow'!G21</f>
        <v>0.9128709291752769</v>
      </c>
      <c r="H51" s="99">
        <f>'Cash Flow'!H21</f>
        <v>0.89910609099899896</v>
      </c>
      <c r="I51" s="99">
        <f>'Cash Flow'!I21</f>
        <v>0.88554880765217592</v>
      </c>
      <c r="J51" s="99">
        <f>'Cash Flow'!J21</f>
        <v>0.87219594949342127</v>
      </c>
      <c r="K51" s="99">
        <f>'Cash Flow'!K21</f>
        <v>0.85904443407203712</v>
      </c>
      <c r="L51" s="99">
        <f>'Cash Flow'!L21</f>
        <v>0.84609122541644266</v>
      </c>
      <c r="M51" s="99">
        <f>'Cash Flow'!M21</f>
        <v>0.83333333333333337</v>
      </c>
      <c r="N51" s="99">
        <f>'Cash Flow'!N21</f>
        <v>0.82076781271740729</v>
      </c>
      <c r="O51" s="99">
        <f>'Cash Flow'!O21</f>
        <v>0.80839176287150039</v>
      </c>
      <c r="P51" s="99">
        <f>'Cash Flow'!P21</f>
        <v>0.79620232683697245</v>
      </c>
      <c r="Q51" s="99">
        <f>'Cash Flow'!Q21</f>
        <v>0.7841966907341904</v>
      </c>
      <c r="R51" s="99">
        <f>'Cash Flow'!R21</f>
        <v>0.77237208311295658</v>
      </c>
      <c r="S51" s="99">
        <f>'Cash Flow'!S21</f>
        <v>0.7607257743127307</v>
      </c>
      <c r="T51" s="99">
        <f>'Cash Flow'!T21</f>
        <v>0.74925507583249917</v>
      </c>
      <c r="U51" s="99">
        <f>'Cash Flow'!U21</f>
        <v>0.73795733971014654</v>
      </c>
      <c r="V51" s="99">
        <f>'Cash Flow'!V21</f>
        <v>0.72682995791118443</v>
      </c>
      <c r="W51" s="99">
        <f>'Cash Flow'!W21</f>
        <v>0.71587036172669771</v>
      </c>
      <c r="X51" s="99">
        <f>'Cash Flow'!X21</f>
        <v>0.70507602118036894</v>
      </c>
      <c r="Y51" s="99">
        <f>'Cash Flow'!Y21</f>
        <v>0.69444444444444442</v>
      </c>
      <c r="Z51" s="99">
        <f>AVERAGE(B51:M51)</f>
        <v>0.90720896513911009</v>
      </c>
      <c r="AA51" s="99">
        <f>AVERAGE(N51:Y51)</f>
        <v>0.75600747094925824</v>
      </c>
      <c r="AB51" s="88"/>
      <c r="AC51" s="88"/>
    </row>
    <row r="52" spans="1:29" ht="18" customHeight="1" x14ac:dyDescent="0.2">
      <c r="A52" s="95" t="s">
        <v>254</v>
      </c>
      <c r="B52" s="96">
        <f t="shared" ref="B52:Y52" si="8">B50*B51</f>
        <v>-11349626.88843831</v>
      </c>
      <c r="C52" s="96">
        <f t="shared" si="8"/>
        <v>-2105872.3715106314</v>
      </c>
      <c r="D52" s="96">
        <f t="shared" si="8"/>
        <v>-1919197.4209184209</v>
      </c>
      <c r="E52" s="96">
        <f t="shared" si="8"/>
        <v>-1579500.9099224128</v>
      </c>
      <c r="F52" s="96">
        <f t="shared" si="8"/>
        <v>-1094598.2630709801</v>
      </c>
      <c r="G52" s="96">
        <f t="shared" si="8"/>
        <v>-471539.2802442385</v>
      </c>
      <c r="H52" s="96">
        <f t="shared" si="8"/>
        <v>-310062.39765965589</v>
      </c>
      <c r="I52" s="96">
        <f t="shared" si="8"/>
        <v>531853.91896729055</v>
      </c>
      <c r="J52" s="96">
        <f t="shared" si="8"/>
        <v>1339673.8618693058</v>
      </c>
      <c r="K52" s="96">
        <f t="shared" si="8"/>
        <v>2240824.9414924476</v>
      </c>
      <c r="L52" s="96">
        <f t="shared" si="8"/>
        <v>3232251.384558863</v>
      </c>
      <c r="M52" s="96">
        <f t="shared" si="8"/>
        <v>4311334.5076227598</v>
      </c>
      <c r="N52" s="96">
        <f t="shared" si="8"/>
        <v>2707095.2307576435</v>
      </c>
      <c r="O52" s="96">
        <f t="shared" si="8"/>
        <v>3999198.5899993661</v>
      </c>
      <c r="P52" s="96">
        <f t="shared" si="8"/>
        <v>5366529.8756614411</v>
      </c>
      <c r="Q52" s="96">
        <f t="shared" si="8"/>
        <v>6801188.5572040631</v>
      </c>
      <c r="R52" s="96">
        <f t="shared" si="8"/>
        <v>8295903.5032584257</v>
      </c>
      <c r="S52" s="96">
        <f t="shared" si="8"/>
        <v>9843988.3687125277</v>
      </c>
      <c r="T52" s="96">
        <f t="shared" si="8"/>
        <v>11439300.024462378</v>
      </c>
      <c r="U52" s="96">
        <f t="shared" si="8"/>
        <v>13076199.825017294</v>
      </c>
      <c r="V52" s="96">
        <f t="shared" si="8"/>
        <v>14749517.522944238</v>
      </c>
      <c r="W52" s="96">
        <f t="shared" si="8"/>
        <v>16454517.651994143</v>
      </c>
      <c r="X52" s="96">
        <f t="shared" si="8"/>
        <v>18186868.212738104</v>
      </c>
      <c r="Y52" s="96">
        <f t="shared" si="8"/>
        <v>19942611.505712945</v>
      </c>
      <c r="Z52" s="96">
        <f>SUM(B52:M52)</f>
        <v>-7174458.917253986</v>
      </c>
      <c r="AA52" s="96">
        <f>SUM(N52:Y52)</f>
        <v>130862918.86846258</v>
      </c>
      <c r="AB52" s="88"/>
      <c r="AC52" s="88"/>
    </row>
    <row r="53" spans="1:29" ht="7.5" customHeight="1" x14ac:dyDescent="0.2">
      <c r="A53" s="56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88"/>
      <c r="AC53" s="88"/>
    </row>
    <row r="54" spans="1:29" ht="19.5" customHeight="1" x14ac:dyDescent="0.15">
      <c r="A54" s="131" t="s">
        <v>255</v>
      </c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</row>
    <row r="55" spans="1:29" ht="18" customHeight="1" x14ac:dyDescent="0.2">
      <c r="A55" s="90" t="s">
        <v>125</v>
      </c>
      <c r="B55" s="94">
        <f>'P&amp;L'!B7</f>
        <v>0</v>
      </c>
      <c r="C55" s="94">
        <f>'P&amp;L'!C7</f>
        <v>0</v>
      </c>
      <c r="D55" s="94">
        <f>'P&amp;L'!D7</f>
        <v>0</v>
      </c>
      <c r="E55" s="94">
        <f>'P&amp;L'!E7</f>
        <v>128700</v>
      </c>
      <c r="F55" s="94">
        <f>'P&amp;L'!F7</f>
        <v>385456.49999999994</v>
      </c>
      <c r="G55" s="94">
        <f>'P&amp;L'!G7</f>
        <v>770034.62250000006</v>
      </c>
      <c r="H55" s="94">
        <f>'P&amp;L'!H7</f>
        <v>1282609.8338625</v>
      </c>
      <c r="I55" s="94">
        <f>'P&amp;L'!I7</f>
        <v>1923770.9152715625</v>
      </c>
      <c r="J55" s="94">
        <f>'P&amp;L'!J7</f>
        <v>2694524.2008507592</v>
      </c>
      <c r="K55" s="94">
        <f>'P&amp;L'!K7</f>
        <v>3596299.104428201</v>
      </c>
      <c r="L55" s="94">
        <f>'P&amp;L'!L7</f>
        <v>4630954.9604546595</v>
      </c>
      <c r="M55" s="94">
        <f>'P&amp;L'!M7</f>
        <v>5800789.2087031975</v>
      </c>
      <c r="N55" s="94">
        <f>'P&amp;L'!N7</f>
        <v>7108546.9566188836</v>
      </c>
      <c r="O55" s="94">
        <f>'P&amp;L'!O7</f>
        <v>8557431.9575585909</v>
      </c>
      <c r="P55" s="94">
        <f>'P&amp;L'!P7</f>
        <v>10151119.047677521</v>
      </c>
      <c r="Q55" s="94">
        <f>'P&amp;L'!Q7</f>
        <v>11885217.203039765</v>
      </c>
      <c r="R55" s="94">
        <f>'P&amp;L'!R7</f>
        <v>13755664.909088647</v>
      </c>
      <c r="S55" s="94">
        <f>'P&amp;L'!S7</f>
        <v>15758715.853164788</v>
      </c>
      <c r="T55" s="94">
        <f>'P&amp;L'!T7</f>
        <v>17890925.395312451</v>
      </c>
      <c r="U55" s="94">
        <f>'P&amp;L'!U7</f>
        <v>20149137.779901884</v>
      </c>
      <c r="V55" s="94">
        <f>'P&amp;L'!V7</f>
        <v>22530474.052507043</v>
      </c>
      <c r="W55" s="94">
        <f>'P&amp;L'!W7</f>
        <v>25032320.648294978</v>
      </c>
      <c r="X55" s="94">
        <f>'P&amp;L'!X7</f>
        <v>27652318.619910277</v>
      </c>
      <c r="Y55" s="94">
        <f>'P&amp;L'!Y7</f>
        <v>30388353.474479645</v>
      </c>
      <c r="Z55" s="94">
        <f t="shared" ref="Z55:Z70" si="9">SUM(B55:M55)</f>
        <v>21213139.346070878</v>
      </c>
      <c r="AA55" s="94">
        <f t="shared" ref="AA55:AA70" si="10">SUM(N55:Y55)</f>
        <v>210860225.89755449</v>
      </c>
      <c r="AB55" s="88"/>
      <c r="AC55" s="88"/>
    </row>
    <row r="56" spans="1:29" ht="18" customHeight="1" x14ac:dyDescent="0.2">
      <c r="A56" s="90" t="s">
        <v>126</v>
      </c>
      <c r="B56" s="94">
        <f>'P&amp;L'!B8</f>
        <v>322071.75</v>
      </c>
      <c r="C56" s="94">
        <f>'P&amp;L'!C8</f>
        <v>657026.37</v>
      </c>
      <c r="D56" s="94">
        <f>'P&amp;L'!D8</f>
        <v>1005765.6609000001</v>
      </c>
      <c r="E56" s="94">
        <f>'P&amp;L'!E8</f>
        <v>1466572.3300800002</v>
      </c>
      <c r="F56" s="94">
        <f>'P&amp;L'!F8</f>
        <v>2039481.0910702802</v>
      </c>
      <c r="G56" s="94">
        <f>'P&amp;L'!G8</f>
        <v>2724905.8502337672</v>
      </c>
      <c r="H56" s="94">
        <f>'P&amp;L'!H8</f>
        <v>3523642.7499637036</v>
      </c>
      <c r="I56" s="94">
        <f>'P&amp;L'!I8</f>
        <v>4436874.3969492111</v>
      </c>
      <c r="J56" s="94">
        <f>'P&amp;L'!J8</f>
        <v>5466175.2961478848</v>
      </c>
      <c r="K56" s="94">
        <f>'P&amp;L'!K8</f>
        <v>6613518.5148729449</v>
      </c>
      <c r="L56" s="94">
        <f>'P&amp;L'!L8</f>
        <v>7881283.6052703783</v>
      </c>
      <c r="M56" s="94">
        <f>'P&amp;L'!M8</f>
        <v>9272265.8174411505</v>
      </c>
      <c r="N56" s="94">
        <f>'P&amp;L'!N8</f>
        <v>10768288.047713002</v>
      </c>
      <c r="O56" s="94">
        <f>'P&amp;L'!O8</f>
        <v>12371619.021611076</v>
      </c>
      <c r="P56" s="94">
        <f>'P&amp;L'!P8</f>
        <v>14084884.242036201</v>
      </c>
      <c r="Q56" s="94">
        <f>'P&amp;L'!Q8</f>
        <v>15904608.373326272</v>
      </c>
      <c r="R56" s="94">
        <f>'P&amp;L'!R8</f>
        <v>17827595.003883231</v>
      </c>
      <c r="S56" s="94">
        <f>'P&amp;L'!S8</f>
        <v>19850914.236444581</v>
      </c>
      <c r="T56" s="94">
        <f>'P&amp;L'!T8</f>
        <v>21971890.959102385</v>
      </c>
      <c r="U56" s="94">
        <f>'P&amp;L'!U8</f>
        <v>24188093.764101807</v>
      </c>
      <c r="V56" s="94">
        <f>'P&amp;L'!V8</f>
        <v>26497324.483135391</v>
      </c>
      <c r="W56" s="94">
        <f>'P&amp;L'!W8</f>
        <v>28897608.309449323</v>
      </c>
      <c r="X56" s="94">
        <f>'P&amp;L'!X8</f>
        <v>31387184.478599355</v>
      </c>
      <c r="Y56" s="94">
        <f>'P&amp;L'!Y8</f>
        <v>33964497.48113969</v>
      </c>
      <c r="Z56" s="94">
        <f t="shared" si="9"/>
        <v>45409583.432929322</v>
      </c>
      <c r="AA56" s="94">
        <f t="shared" si="10"/>
        <v>257714508.40054229</v>
      </c>
      <c r="AB56" s="88"/>
      <c r="AC56" s="88"/>
    </row>
    <row r="57" spans="1:29" ht="18" customHeight="1" x14ac:dyDescent="0.2">
      <c r="A57" s="95" t="s">
        <v>127</v>
      </c>
      <c r="B57" s="96">
        <f>'P&amp;L'!B9</f>
        <v>322071.75</v>
      </c>
      <c r="C57" s="96">
        <f>'P&amp;L'!C9</f>
        <v>657026.37</v>
      </c>
      <c r="D57" s="96">
        <f>'P&amp;L'!D9</f>
        <v>1005765.6609000001</v>
      </c>
      <c r="E57" s="96">
        <f>'P&amp;L'!E9</f>
        <v>1595272.3300800002</v>
      </c>
      <c r="F57" s="96">
        <f>'P&amp;L'!F9</f>
        <v>2424937.5910702799</v>
      </c>
      <c r="G57" s="96">
        <f>'P&amp;L'!G9</f>
        <v>3494940.4727337672</v>
      </c>
      <c r="H57" s="96">
        <f>'P&amp;L'!H9</f>
        <v>4806252.5838262038</v>
      </c>
      <c r="I57" s="96">
        <f>'P&amp;L'!I9</f>
        <v>6360645.3122207737</v>
      </c>
      <c r="J57" s="96">
        <f>'P&amp;L'!J9</f>
        <v>8160699.4969986435</v>
      </c>
      <c r="K57" s="96">
        <f>'P&amp;L'!K9</f>
        <v>10209817.619301146</v>
      </c>
      <c r="L57" s="96">
        <f>'P&amp;L'!L9</f>
        <v>12512238.565725038</v>
      </c>
      <c r="M57" s="96">
        <f>'P&amp;L'!M9</f>
        <v>15073055.026144348</v>
      </c>
      <c r="N57" s="96">
        <f>'P&amp;L'!N9</f>
        <v>17876835.004331887</v>
      </c>
      <c r="O57" s="96">
        <f>'P&amp;L'!O9</f>
        <v>20929050.979169667</v>
      </c>
      <c r="P57" s="96">
        <f>'P&amp;L'!P9</f>
        <v>24236003.289713722</v>
      </c>
      <c r="Q57" s="96">
        <f>'P&amp;L'!Q9</f>
        <v>27789825.576366037</v>
      </c>
      <c r="R57" s="96">
        <f>'P&amp;L'!R9</f>
        <v>31583259.912971877</v>
      </c>
      <c r="S57" s="96">
        <f>'P&amp;L'!S9</f>
        <v>35609630.08960937</v>
      </c>
      <c r="T57" s="96">
        <f>'P&amp;L'!T9</f>
        <v>39862816.354414836</v>
      </c>
      <c r="U57" s="96">
        <f>'P&amp;L'!U9</f>
        <v>44337231.544003695</v>
      </c>
      <c r="V57" s="96">
        <f>'P&amp;L'!V9</f>
        <v>49027798.53564243</v>
      </c>
      <c r="W57" s="96">
        <f>'P&amp;L'!W9</f>
        <v>53929928.9577443</v>
      </c>
      <c r="X57" s="96">
        <f>'P&amp;L'!X9</f>
        <v>59039503.098509632</v>
      </c>
      <c r="Y57" s="96">
        <f>'P&amp;L'!Y9</f>
        <v>64352850.955619335</v>
      </c>
      <c r="Z57" s="96">
        <f t="shared" si="9"/>
        <v>66622722.7790002</v>
      </c>
      <c r="AA57" s="96">
        <f t="shared" si="10"/>
        <v>468574734.29809672</v>
      </c>
      <c r="AB57" s="88"/>
      <c r="AC57" s="88"/>
    </row>
    <row r="58" spans="1:29" ht="18" customHeight="1" x14ac:dyDescent="0.2">
      <c r="A58" s="90" t="s">
        <v>143</v>
      </c>
      <c r="B58" s="94">
        <f>Costs!B15</f>
        <v>2000000</v>
      </c>
      <c r="C58" s="94">
        <f>Costs!C15</f>
        <v>2000000</v>
      </c>
      <c r="D58" s="94">
        <f>Costs!D15</f>
        <v>2000000</v>
      </c>
      <c r="E58" s="94">
        <f>Costs!E15</f>
        <v>2000000</v>
      </c>
      <c r="F58" s="94">
        <f>Costs!F15</f>
        <v>2000000</v>
      </c>
      <c r="G58" s="94">
        <f>Costs!G15</f>
        <v>2000000</v>
      </c>
      <c r="H58" s="94">
        <f>Costs!H15</f>
        <v>2600000</v>
      </c>
      <c r="I58" s="94">
        <f>Costs!I15</f>
        <v>2600000</v>
      </c>
      <c r="J58" s="94">
        <f>Costs!J15</f>
        <v>2600000</v>
      </c>
      <c r="K58" s="94">
        <f>Costs!K15</f>
        <v>2600000</v>
      </c>
      <c r="L58" s="94">
        <f>Costs!L15</f>
        <v>2600000</v>
      </c>
      <c r="M58" s="94">
        <f>Costs!M15</f>
        <v>2600000</v>
      </c>
      <c r="N58" s="94">
        <f>Costs!N15</f>
        <v>3200000</v>
      </c>
      <c r="O58" s="94">
        <f>Costs!O15</f>
        <v>3200000</v>
      </c>
      <c r="P58" s="94">
        <f>Costs!P15</f>
        <v>3200000</v>
      </c>
      <c r="Q58" s="94">
        <f>Costs!Q15</f>
        <v>3200000</v>
      </c>
      <c r="R58" s="94">
        <f>Costs!R15</f>
        <v>3200000</v>
      </c>
      <c r="S58" s="94">
        <f>Costs!S15</f>
        <v>3200000</v>
      </c>
      <c r="T58" s="94">
        <f>Costs!T15</f>
        <v>3200000</v>
      </c>
      <c r="U58" s="94">
        <f>Costs!U15</f>
        <v>3200000</v>
      </c>
      <c r="V58" s="94">
        <f>Costs!V15</f>
        <v>3200000</v>
      </c>
      <c r="W58" s="94">
        <f>Costs!W15</f>
        <v>3200000</v>
      </c>
      <c r="X58" s="94">
        <f>Costs!X15</f>
        <v>3200000</v>
      </c>
      <c r="Y58" s="94">
        <f>Costs!Y15</f>
        <v>3200000</v>
      </c>
      <c r="Z58" s="94">
        <f t="shared" si="9"/>
        <v>27600000</v>
      </c>
      <c r="AA58" s="94">
        <f t="shared" si="10"/>
        <v>38400000</v>
      </c>
      <c r="AB58" s="88"/>
      <c r="AC58" s="88"/>
    </row>
    <row r="59" spans="1:29" ht="18" customHeight="1" x14ac:dyDescent="0.2">
      <c r="A59" s="90" t="s">
        <v>146</v>
      </c>
      <c r="B59" s="94">
        <f>Costs!B18</f>
        <v>109500.39044859924</v>
      </c>
      <c r="C59" s="94">
        <f>Costs!C18</f>
        <v>118391.82215302551</v>
      </c>
      <c r="D59" s="94">
        <f>Costs!D18</f>
        <v>128005.2381118512</v>
      </c>
      <c r="E59" s="94">
        <f>Costs!E18</f>
        <v>138399.2634465335</v>
      </c>
      <c r="F59" s="94">
        <f>Costs!F18</f>
        <v>149637.28363839205</v>
      </c>
      <c r="G59" s="94">
        <f>Costs!G18</f>
        <v>161787.83106982947</v>
      </c>
      <c r="H59" s="94">
        <f>Costs!H18</f>
        <v>174925.00295269964</v>
      </c>
      <c r="I59" s="94">
        <f>Costs!I18</f>
        <v>189128.9131924588</v>
      </c>
      <c r="J59" s="94">
        <f>Costs!J18</f>
        <v>204486.18094368649</v>
      </c>
      <c r="K59" s="94">
        <f>Costs!K18</f>
        <v>221090.45883631386</v>
      </c>
      <c r="L59" s="94">
        <f>Costs!L18</f>
        <v>239043.00409382253</v>
      </c>
      <c r="M59" s="94">
        <f>Costs!M18</f>
        <v>258453.29602624092</v>
      </c>
      <c r="N59" s="94">
        <f>Costs!N18</f>
        <v>3333333.3333333335</v>
      </c>
      <c r="O59" s="94">
        <f>Costs!O18</f>
        <v>3333333.3333333335</v>
      </c>
      <c r="P59" s="94">
        <f>Costs!P18</f>
        <v>3333333.3333333335</v>
      </c>
      <c r="Q59" s="94">
        <f>Costs!Q18</f>
        <v>3333333.3333333335</v>
      </c>
      <c r="R59" s="94">
        <f>Costs!R18</f>
        <v>3333333.3333333335</v>
      </c>
      <c r="S59" s="94">
        <f>Costs!S18</f>
        <v>3333333.3333333335</v>
      </c>
      <c r="T59" s="94">
        <f>Costs!T18</f>
        <v>3333333.3333333335</v>
      </c>
      <c r="U59" s="94">
        <f>Costs!U18</f>
        <v>3333333.3333333335</v>
      </c>
      <c r="V59" s="94">
        <f>Costs!V18</f>
        <v>3333333.3333333335</v>
      </c>
      <c r="W59" s="94">
        <f>Costs!W18</f>
        <v>3333333.3333333335</v>
      </c>
      <c r="X59" s="94">
        <f>Costs!X18</f>
        <v>3333333.3333333335</v>
      </c>
      <c r="Y59" s="94">
        <f>Costs!Y18</f>
        <v>3333333.3333333335</v>
      </c>
      <c r="Z59" s="94">
        <f t="shared" si="9"/>
        <v>2092848.6849134532</v>
      </c>
      <c r="AA59" s="94">
        <f t="shared" si="10"/>
        <v>40000000</v>
      </c>
      <c r="AB59" s="88"/>
      <c r="AC59" s="88"/>
    </row>
    <row r="60" spans="1:29" ht="18" customHeight="1" x14ac:dyDescent="0.2">
      <c r="A60" s="90" t="s">
        <v>169</v>
      </c>
      <c r="B60" s="94">
        <f>Costs!B21</f>
        <v>50292.029278567177</v>
      </c>
      <c r="C60" s="94">
        <f>Costs!C21</f>
        <v>99743.717971563019</v>
      </c>
      <c r="D60" s="94">
        <f>Costs!D21</f>
        <v>148651.30963123607</v>
      </c>
      <c r="E60" s="94">
        <f>Costs!E21</f>
        <v>197252.86555397912</v>
      </c>
      <c r="F60" s="94">
        <f>Costs!F21</f>
        <v>245779.58358199731</v>
      </c>
      <c r="G60" s="94">
        <f>Costs!G21</f>
        <v>294457.05259473925</v>
      </c>
      <c r="H60" s="94">
        <f>Costs!H21</f>
        <v>343506.45023951365</v>
      </c>
      <c r="I60" s="94">
        <f>Costs!I21</f>
        <v>393145.69099438639</v>
      </c>
      <c r="J60" s="94">
        <f>Costs!J21</f>
        <v>443590.53124532342</v>
      </c>
      <c r="K60" s="94">
        <f>Costs!K21</f>
        <v>495055.63769052632</v>
      </c>
      <c r="L60" s="94">
        <f>Costs!L21</f>
        <v>547755.62505518878</v>
      </c>
      <c r="M60" s="94">
        <f>Costs!M21</f>
        <v>601906.06880693883</v>
      </c>
      <c r="N60" s="94">
        <f>Costs!N21</f>
        <v>654386.39529255498</v>
      </c>
      <c r="O60" s="94">
        <f>Costs!O21</f>
        <v>705386.12455467286</v>
      </c>
      <c r="P60" s="94">
        <f>Costs!P21</f>
        <v>755081.54466377629</v>
      </c>
      <c r="Q60" s="94">
        <f>Costs!Q21</f>
        <v>803636.79192351457</v>
      </c>
      <c r="R60" s="94">
        <f>Costs!R21</f>
        <v>851204.84653044434</v>
      </c>
      <c r="S60" s="94">
        <f>Costs!S21</f>
        <v>897928.45043213235</v>
      </c>
      <c r="T60" s="94">
        <f>Costs!T21</f>
        <v>943940.95359086595</v>
      </c>
      <c r="U60" s="94">
        <f>Costs!U21</f>
        <v>989367.09436638223</v>
      </c>
      <c r="V60" s="94">
        <f>Costs!V21</f>
        <v>1034323.7192765933</v>
      </c>
      <c r="W60" s="94">
        <f>Costs!W21</f>
        <v>1078920.4469771334</v>
      </c>
      <c r="X60" s="94">
        <f>Costs!X21</f>
        <v>1123260.2809157721</v>
      </c>
      <c r="Y60" s="94">
        <f>Costs!Y21</f>
        <v>1167440.1747636611</v>
      </c>
      <c r="Z60" s="94">
        <f t="shared" si="9"/>
        <v>3861136.5626439597</v>
      </c>
      <c r="AA60" s="94">
        <f t="shared" si="10"/>
        <v>11004876.823287504</v>
      </c>
      <c r="AB60" s="88"/>
      <c r="AC60" s="88"/>
    </row>
    <row r="61" spans="1:29" ht="18" customHeight="1" x14ac:dyDescent="0.2">
      <c r="A61" s="95" t="s">
        <v>250</v>
      </c>
      <c r="B61" s="96">
        <f>Costs!B27</f>
        <v>2324865.0285107363</v>
      </c>
      <c r="C61" s="96">
        <f>Costs!C27</f>
        <v>2398043.6555160573</v>
      </c>
      <c r="D61" s="96">
        <f>Costs!D27</f>
        <v>2471236.9406324578</v>
      </c>
      <c r="E61" s="96">
        <f>Costs!E27</f>
        <v>2544812.9886667067</v>
      </c>
      <c r="F61" s="96">
        <f>Costs!F27</f>
        <v>2619135.7422949891</v>
      </c>
      <c r="G61" s="96">
        <f>Costs!G27</f>
        <v>2694566.9994429909</v>
      </c>
      <c r="H61" s="96">
        <f>Costs!H27</f>
        <v>3371468.388264067</v>
      </c>
      <c r="I61" s="96">
        <f>Costs!I27</f>
        <v>3450203.3114851615</v>
      </c>
      <c r="J61" s="96">
        <f>Costs!J27</f>
        <v>3531138.8715626067</v>
      </c>
      <c r="K61" s="96">
        <f>Costs!K27</f>
        <v>3614647.787833998</v>
      </c>
      <c r="L61" s="96">
        <f>Costs!L27</f>
        <v>3701110.3166655679</v>
      </c>
      <c r="M61" s="96">
        <f>Costs!M27</f>
        <v>3790916.1854752614</v>
      </c>
      <c r="N61" s="96">
        <f>Costs!N27</f>
        <v>7568650.7390724318</v>
      </c>
      <c r="O61" s="96">
        <f>Costs!O27</f>
        <v>7636480.3789910488</v>
      </c>
      <c r="P61" s="96">
        <f>Costs!P27</f>
        <v>7702575.287736157</v>
      </c>
      <c r="Q61" s="96">
        <f>Costs!Q27</f>
        <v>7767153.7665916085</v>
      </c>
      <c r="R61" s="96">
        <f>Costs!R27</f>
        <v>7830419.2792188246</v>
      </c>
      <c r="S61" s="96">
        <f>Costs!S27</f>
        <v>7892561.6724080695</v>
      </c>
      <c r="T61" s="96">
        <f>Costs!T27</f>
        <v>7953758.3016091855</v>
      </c>
      <c r="U61" s="96">
        <f>Costs!U27</f>
        <v>8014175.068840622</v>
      </c>
      <c r="V61" s="96">
        <f>Costs!V27</f>
        <v>8073967.3799712025</v>
      </c>
      <c r="W61" s="96">
        <f>Costs!W27</f>
        <v>8133281.0278129205</v>
      </c>
      <c r="X61" s="96">
        <f>Costs!X27</f>
        <v>8192253.0069513116</v>
      </c>
      <c r="Y61" s="96">
        <f>Costs!Y27</f>
        <v>8251012.265769003</v>
      </c>
      <c r="Z61" s="96">
        <f t="shared" si="9"/>
        <v>36512146.2163506</v>
      </c>
      <c r="AA61" s="96">
        <f t="shared" si="10"/>
        <v>95016288.1749724</v>
      </c>
      <c r="AB61" s="88"/>
      <c r="AC61" s="88"/>
    </row>
    <row r="62" spans="1:29" ht="18" customHeight="1" x14ac:dyDescent="0.2">
      <c r="A62" s="95" t="s">
        <v>172</v>
      </c>
      <c r="B62" s="96">
        <f>'P&amp;L'!B20</f>
        <v>-2002793.2785107363</v>
      </c>
      <c r="C62" s="96">
        <f>'P&amp;L'!C20</f>
        <v>-1741017.2855160572</v>
      </c>
      <c r="D62" s="96">
        <f>'P&amp;L'!D20</f>
        <v>-1465471.2797324578</v>
      </c>
      <c r="E62" s="96">
        <f>'P&amp;L'!E20</f>
        <v>-949540.6585867065</v>
      </c>
      <c r="F62" s="96">
        <f>'P&amp;L'!F20</f>
        <v>-194198.15122470912</v>
      </c>
      <c r="G62" s="96">
        <f>'P&amp;L'!G20</f>
        <v>800373.47329077637</v>
      </c>
      <c r="H62" s="96">
        <f>'P&amp;L'!H20</f>
        <v>1434784.1955621368</v>
      </c>
      <c r="I62" s="96">
        <f>'P&amp;L'!I20</f>
        <v>2910442.0007356121</v>
      </c>
      <c r="J62" s="96">
        <f>'P&amp;L'!J20</f>
        <v>4629560.6254360368</v>
      </c>
      <c r="K62" s="96">
        <f>'P&amp;L'!K20</f>
        <v>6595169.8314671479</v>
      </c>
      <c r="L62" s="96">
        <f>'P&amp;L'!L20</f>
        <v>8811128.2490594704</v>
      </c>
      <c r="M62" s="96">
        <f>'P&amp;L'!M20</f>
        <v>11282138.840669086</v>
      </c>
      <c r="N62" s="96">
        <f>'P&amp;L'!N20</f>
        <v>10308184.265259456</v>
      </c>
      <c r="O62" s="96">
        <f>'P&amp;L'!O20</f>
        <v>13292570.600178618</v>
      </c>
      <c r="P62" s="96">
        <f>'P&amp;L'!P20</f>
        <v>16533428.001977565</v>
      </c>
      <c r="Q62" s="96">
        <f>'P&amp;L'!Q20</f>
        <v>20022671.809774429</v>
      </c>
      <c r="R62" s="96">
        <f>'P&amp;L'!R20</f>
        <v>23752840.633753054</v>
      </c>
      <c r="S62" s="96">
        <f>'P&amp;L'!S20</f>
        <v>27717068.417201299</v>
      </c>
      <c r="T62" s="96">
        <f>'P&amp;L'!T20</f>
        <v>31909058.052805651</v>
      </c>
      <c r="U62" s="96">
        <f>'P&amp;L'!U20</f>
        <v>36323056.475163072</v>
      </c>
      <c r="V62" s="96">
        <f>'P&amp;L'!V20</f>
        <v>40953831.155671224</v>
      </c>
      <c r="W62" s="96">
        <f>'P&amp;L'!W20</f>
        <v>45796647.92993138</v>
      </c>
      <c r="X62" s="96">
        <f>'P&amp;L'!X20</f>
        <v>50847250.091558322</v>
      </c>
      <c r="Y62" s="96">
        <f>'P&amp;L'!Y20</f>
        <v>56101838.68985033</v>
      </c>
      <c r="Z62" s="96">
        <f t="shared" si="9"/>
        <v>30110576.5626496</v>
      </c>
      <c r="AA62" s="96">
        <f t="shared" si="10"/>
        <v>373558446.12312436</v>
      </c>
      <c r="AB62" s="88"/>
      <c r="AC62" s="88"/>
    </row>
    <row r="63" spans="1:29" ht="18" customHeight="1" x14ac:dyDescent="0.2">
      <c r="A63" s="90" t="s">
        <v>188</v>
      </c>
      <c r="B63" s="94">
        <f>'P&amp;L'!B22</f>
        <v>333333.33333333331</v>
      </c>
      <c r="C63" s="94">
        <f>'P&amp;L'!C22</f>
        <v>333333.33333333331</v>
      </c>
      <c r="D63" s="94">
        <f>'P&amp;L'!D22</f>
        <v>333333.33333333331</v>
      </c>
      <c r="E63" s="94">
        <f>'P&amp;L'!E22</f>
        <v>333333.33333333331</v>
      </c>
      <c r="F63" s="94">
        <f>'P&amp;L'!F22</f>
        <v>333333.33333333331</v>
      </c>
      <c r="G63" s="94">
        <f>'P&amp;L'!G22</f>
        <v>333333.33333333331</v>
      </c>
      <c r="H63" s="94">
        <f>'P&amp;L'!H22</f>
        <v>333333.33333333331</v>
      </c>
      <c r="I63" s="94">
        <f>'P&amp;L'!I22</f>
        <v>333333.33333333331</v>
      </c>
      <c r="J63" s="94">
        <f>'P&amp;L'!J22</f>
        <v>333333.33333333331</v>
      </c>
      <c r="K63" s="94">
        <f>'P&amp;L'!K22</f>
        <v>333333.33333333331</v>
      </c>
      <c r="L63" s="94">
        <f>'P&amp;L'!L22</f>
        <v>333333.33333333331</v>
      </c>
      <c r="M63" s="94">
        <f>'P&amp;L'!M22</f>
        <v>333333.33333333331</v>
      </c>
      <c r="N63" s="94">
        <f>'P&amp;L'!N22</f>
        <v>333333.33333333331</v>
      </c>
      <c r="O63" s="94">
        <f>'P&amp;L'!O22</f>
        <v>333333.33333333331</v>
      </c>
      <c r="P63" s="94">
        <f>'P&amp;L'!P22</f>
        <v>333333.33333333331</v>
      </c>
      <c r="Q63" s="94">
        <f>'P&amp;L'!Q22</f>
        <v>333333.33333333331</v>
      </c>
      <c r="R63" s="94">
        <f>'P&amp;L'!R22</f>
        <v>333333.33333333331</v>
      </c>
      <c r="S63" s="94">
        <f>'P&amp;L'!S22</f>
        <v>333333.33333333331</v>
      </c>
      <c r="T63" s="94">
        <f>'P&amp;L'!T22</f>
        <v>333333.33333333331</v>
      </c>
      <c r="U63" s="94">
        <f>'P&amp;L'!U22</f>
        <v>333333.33333333331</v>
      </c>
      <c r="V63" s="94">
        <f>'P&amp;L'!V22</f>
        <v>333333.33333333331</v>
      </c>
      <c r="W63" s="94">
        <f>'P&amp;L'!W22</f>
        <v>333333.33333333331</v>
      </c>
      <c r="X63" s="94">
        <f>'P&amp;L'!X22</f>
        <v>333333.33333333331</v>
      </c>
      <c r="Y63" s="94">
        <f>'P&amp;L'!Y22</f>
        <v>333333.33333333331</v>
      </c>
      <c r="Z63" s="94">
        <f t="shared" si="9"/>
        <v>4000000.0000000005</v>
      </c>
      <c r="AA63" s="94">
        <f t="shared" si="10"/>
        <v>4000000.0000000005</v>
      </c>
      <c r="AB63" s="88"/>
      <c r="AC63" s="88"/>
    </row>
    <row r="64" spans="1:29" ht="18" customHeight="1" x14ac:dyDescent="0.2">
      <c r="A64" s="90" t="s">
        <v>175</v>
      </c>
      <c r="B64" s="94">
        <f>'P&amp;L'!B23</f>
        <v>-2336126.6118440698</v>
      </c>
      <c r="C64" s="94">
        <f>'P&amp;L'!C23</f>
        <v>-2074350.6188493904</v>
      </c>
      <c r="D64" s="94">
        <f>'P&amp;L'!D23</f>
        <v>-1798804.6130657911</v>
      </c>
      <c r="E64" s="94">
        <f>'P&amp;L'!E23</f>
        <v>-1282873.9919200398</v>
      </c>
      <c r="F64" s="94">
        <f>'P&amp;L'!F23</f>
        <v>-527531.48455804237</v>
      </c>
      <c r="G64" s="94">
        <f>'P&amp;L'!G23</f>
        <v>467040.13995744305</v>
      </c>
      <c r="H64" s="94">
        <f>'P&amp;L'!H23</f>
        <v>1101450.8622288036</v>
      </c>
      <c r="I64" s="94">
        <f>'P&amp;L'!I23</f>
        <v>2577108.6674022786</v>
      </c>
      <c r="J64" s="94">
        <f>'P&amp;L'!J23</f>
        <v>4296227.2921027038</v>
      </c>
      <c r="K64" s="94">
        <f>'P&amp;L'!K23</f>
        <v>6261836.4981338149</v>
      </c>
      <c r="L64" s="94">
        <f>'P&amp;L'!L23</f>
        <v>8477794.9157261364</v>
      </c>
      <c r="M64" s="94">
        <f>'P&amp;L'!M23</f>
        <v>10948805.507335752</v>
      </c>
      <c r="N64" s="94">
        <f>'P&amp;L'!N23</f>
        <v>9974850.9319261219</v>
      </c>
      <c r="O64" s="94">
        <f>'P&amp;L'!O23</f>
        <v>12959237.266845284</v>
      </c>
      <c r="P64" s="94">
        <f>'P&amp;L'!P23</f>
        <v>16200094.668644231</v>
      </c>
      <c r="Q64" s="94">
        <f>'P&amp;L'!Q23</f>
        <v>19689338.476441097</v>
      </c>
      <c r="R64" s="94">
        <f>'P&amp;L'!R23</f>
        <v>23419507.300419722</v>
      </c>
      <c r="S64" s="94">
        <f>'P&amp;L'!S23</f>
        <v>27383735.083867967</v>
      </c>
      <c r="T64" s="94">
        <f>'P&amp;L'!T23</f>
        <v>31575724.719472319</v>
      </c>
      <c r="U64" s="94">
        <f>'P&amp;L'!U23</f>
        <v>35989723.141829737</v>
      </c>
      <c r="V64" s="94">
        <f>'P&amp;L'!V23</f>
        <v>40620497.822337888</v>
      </c>
      <c r="W64" s="94">
        <f>'P&amp;L'!W23</f>
        <v>45463314.596598044</v>
      </c>
      <c r="X64" s="94">
        <f>'P&amp;L'!X23</f>
        <v>50513916.758224986</v>
      </c>
      <c r="Y64" s="94">
        <f>'P&amp;L'!Y23</f>
        <v>55768505.356516995</v>
      </c>
      <c r="Z64" s="94">
        <f t="shared" si="9"/>
        <v>26110576.5626496</v>
      </c>
      <c r="AA64" s="94">
        <f t="shared" si="10"/>
        <v>369558446.12312442</v>
      </c>
      <c r="AB64" s="88"/>
      <c r="AC64" s="88"/>
    </row>
    <row r="65" spans="1:29" ht="18" customHeight="1" x14ac:dyDescent="0.2">
      <c r="A65" s="90" t="s">
        <v>251</v>
      </c>
      <c r="B65" s="94">
        <f>'P&amp;L'!B24</f>
        <v>0</v>
      </c>
      <c r="C65" s="94">
        <f>'P&amp;L'!C24</f>
        <v>0</v>
      </c>
      <c r="D65" s="94">
        <f>'P&amp;L'!D24</f>
        <v>0</v>
      </c>
      <c r="E65" s="94">
        <f>'P&amp;L'!E24</f>
        <v>0</v>
      </c>
      <c r="F65" s="94">
        <f>'P&amp;L'!F24</f>
        <v>0</v>
      </c>
      <c r="G65" s="94">
        <f>'P&amp;L'!G24</f>
        <v>93408.02799148862</v>
      </c>
      <c r="H65" s="94">
        <f>'P&amp;L'!H24</f>
        <v>220290.17244576072</v>
      </c>
      <c r="I65" s="94">
        <f>'P&amp;L'!I24</f>
        <v>515421.73348045576</v>
      </c>
      <c r="J65" s="94">
        <f>'P&amp;L'!J24</f>
        <v>859245.45842054079</v>
      </c>
      <c r="K65" s="94">
        <f>'P&amp;L'!K24</f>
        <v>1252367.299626763</v>
      </c>
      <c r="L65" s="94">
        <f>'P&amp;L'!L24</f>
        <v>1695558.9831452274</v>
      </c>
      <c r="M65" s="94">
        <f>'P&amp;L'!M24</f>
        <v>2189761.1014671507</v>
      </c>
      <c r="N65" s="94">
        <f>'P&amp;L'!N24</f>
        <v>1994970.1863852246</v>
      </c>
      <c r="O65" s="94">
        <f>'P&amp;L'!O24</f>
        <v>2591847.4533690568</v>
      </c>
      <c r="P65" s="94">
        <f>'P&amp;L'!P24</f>
        <v>3240018.9337288463</v>
      </c>
      <c r="Q65" s="94">
        <f>'P&amp;L'!Q24</f>
        <v>3937867.6952882195</v>
      </c>
      <c r="R65" s="94">
        <f>'P&amp;L'!R24</f>
        <v>4683901.4600839447</v>
      </c>
      <c r="S65" s="94">
        <f>'P&amp;L'!S24</f>
        <v>5476747.0167735936</v>
      </c>
      <c r="T65" s="94">
        <f>'P&amp;L'!T24</f>
        <v>6315144.9438944645</v>
      </c>
      <c r="U65" s="94">
        <f>'P&amp;L'!U24</f>
        <v>7197944.6283659479</v>
      </c>
      <c r="V65" s="94">
        <f>'P&amp;L'!V24</f>
        <v>8124099.5644675782</v>
      </c>
      <c r="W65" s="94">
        <f>'P&amp;L'!W24</f>
        <v>9092662.9193196092</v>
      </c>
      <c r="X65" s="94">
        <f>'P&amp;L'!X24</f>
        <v>10102783.351644998</v>
      </c>
      <c r="Y65" s="94">
        <f>'P&amp;L'!Y24</f>
        <v>11153701.071303399</v>
      </c>
      <c r="Z65" s="94">
        <f t="shared" si="9"/>
        <v>6826052.776577387</v>
      </c>
      <c r="AA65" s="94">
        <f t="shared" si="10"/>
        <v>73911689.224624887</v>
      </c>
      <c r="AB65" s="88"/>
      <c r="AC65" s="88"/>
    </row>
    <row r="66" spans="1:29" ht="18" customHeight="1" x14ac:dyDescent="0.2">
      <c r="A66" s="90" t="s">
        <v>187</v>
      </c>
      <c r="B66" s="94">
        <f>'Cash Flow'!B9</f>
        <v>-2336126.6118440698</v>
      </c>
      <c r="C66" s="94">
        <f>'Cash Flow'!C9</f>
        <v>-2074350.6188493904</v>
      </c>
      <c r="D66" s="94">
        <f>'Cash Flow'!D9</f>
        <v>-1798804.6130657911</v>
      </c>
      <c r="E66" s="94">
        <f>'Cash Flow'!E9</f>
        <v>-1282873.9919200398</v>
      </c>
      <c r="F66" s="94">
        <f>'Cash Flow'!F9</f>
        <v>-527531.48455804237</v>
      </c>
      <c r="G66" s="94">
        <f>'Cash Flow'!G9</f>
        <v>373632.11196595442</v>
      </c>
      <c r="H66" s="94">
        <f>'Cash Flow'!H9</f>
        <v>881160.68978304288</v>
      </c>
      <c r="I66" s="94">
        <f>'Cash Flow'!I9</f>
        <v>2061686.9339218228</v>
      </c>
      <c r="J66" s="94">
        <f>'Cash Flow'!J9</f>
        <v>3436981.8336821632</v>
      </c>
      <c r="K66" s="94">
        <f>'Cash Flow'!K9</f>
        <v>5009469.1985070519</v>
      </c>
      <c r="L66" s="94">
        <f>'Cash Flow'!L9</f>
        <v>6782235.9325809088</v>
      </c>
      <c r="M66" s="94">
        <f>'Cash Flow'!M9</f>
        <v>8759044.4058686011</v>
      </c>
      <c r="N66" s="94">
        <f>'Cash Flow'!N9</f>
        <v>7979880.7455408974</v>
      </c>
      <c r="O66" s="94">
        <f>'Cash Flow'!O9</f>
        <v>10367389.813476227</v>
      </c>
      <c r="P66" s="94">
        <f>'Cash Flow'!P9</f>
        <v>12960075.734915385</v>
      </c>
      <c r="Q66" s="94">
        <f>'Cash Flow'!Q9</f>
        <v>15751470.781152878</v>
      </c>
      <c r="R66" s="94">
        <f>'Cash Flow'!R9</f>
        <v>18735605.840335779</v>
      </c>
      <c r="S66" s="94">
        <f>'Cash Flow'!S9</f>
        <v>21906988.067094374</v>
      </c>
      <c r="T66" s="94">
        <f>'Cash Flow'!T9</f>
        <v>25260579.775577854</v>
      </c>
      <c r="U66" s="94">
        <f>'Cash Flow'!U9</f>
        <v>28791778.513463788</v>
      </c>
      <c r="V66" s="94">
        <f>'Cash Flow'!V9</f>
        <v>32496398.257870309</v>
      </c>
      <c r="W66" s="94">
        <f>'Cash Flow'!W9</f>
        <v>36370651.677278437</v>
      </c>
      <c r="X66" s="94">
        <f>'Cash Flow'!X9</f>
        <v>40411133.406579986</v>
      </c>
      <c r="Y66" s="94">
        <f>'Cash Flow'!Y9</f>
        <v>44614804.285213597</v>
      </c>
      <c r="Z66" s="94">
        <f t="shared" si="9"/>
        <v>19284523.786072209</v>
      </c>
      <c r="AA66" s="94">
        <f t="shared" si="10"/>
        <v>295646756.89849949</v>
      </c>
      <c r="AB66" s="88"/>
      <c r="AC66" s="88"/>
    </row>
    <row r="67" spans="1:29" ht="18" customHeight="1" x14ac:dyDescent="0.2">
      <c r="A67" s="90" t="s">
        <v>252</v>
      </c>
      <c r="B67" s="94">
        <f>'Cash Flow'!B11</f>
        <v>-2002793.2785107365</v>
      </c>
      <c r="C67" s="94">
        <f>'Cash Flow'!C11</f>
        <v>-1741017.2855160572</v>
      </c>
      <c r="D67" s="94">
        <f>'Cash Flow'!D11</f>
        <v>-1465471.2797324578</v>
      </c>
      <c r="E67" s="94">
        <f>'Cash Flow'!E11</f>
        <v>-949540.6585867065</v>
      </c>
      <c r="F67" s="94">
        <f>'Cash Flow'!F11</f>
        <v>-194198.15122470906</v>
      </c>
      <c r="G67" s="94">
        <f>'Cash Flow'!G11</f>
        <v>706965.44529928779</v>
      </c>
      <c r="H67" s="94">
        <f>'Cash Flow'!H11</f>
        <v>1214494.0231163763</v>
      </c>
      <c r="I67" s="94">
        <f>'Cash Flow'!I11</f>
        <v>2395020.2672551563</v>
      </c>
      <c r="J67" s="94">
        <f>'Cash Flow'!J11</f>
        <v>3770315.1670154966</v>
      </c>
      <c r="K67" s="94">
        <f>'Cash Flow'!K11</f>
        <v>5342802.5318403849</v>
      </c>
      <c r="L67" s="94">
        <f>'Cash Flow'!L11</f>
        <v>7115569.2659142418</v>
      </c>
      <c r="M67" s="94">
        <f>'Cash Flow'!M11</f>
        <v>9092377.739201935</v>
      </c>
      <c r="N67" s="94">
        <f>'Cash Flow'!N11</f>
        <v>8313214.0788742304</v>
      </c>
      <c r="O67" s="94">
        <f>'Cash Flow'!O11</f>
        <v>10700723.146809561</v>
      </c>
      <c r="P67" s="94">
        <f>'Cash Flow'!P11</f>
        <v>13293409.068248719</v>
      </c>
      <c r="Q67" s="94">
        <f>'Cash Flow'!Q11</f>
        <v>16084804.114486212</v>
      </c>
      <c r="R67" s="94">
        <f>'Cash Flow'!R11</f>
        <v>19068939.173669111</v>
      </c>
      <c r="S67" s="94">
        <f>'Cash Flow'!S11</f>
        <v>22240321.400427707</v>
      </c>
      <c r="T67" s="94">
        <f>'Cash Flow'!T11</f>
        <v>25593913.108911186</v>
      </c>
      <c r="U67" s="94">
        <f>'Cash Flow'!U11</f>
        <v>29125111.84679712</v>
      </c>
      <c r="V67" s="94">
        <f>'Cash Flow'!V11</f>
        <v>32829731.591203641</v>
      </c>
      <c r="W67" s="94">
        <f>'Cash Flow'!W11</f>
        <v>36703985.010611773</v>
      </c>
      <c r="X67" s="94">
        <f>'Cash Flow'!X11</f>
        <v>40744466.739913322</v>
      </c>
      <c r="Y67" s="94">
        <f>'Cash Flow'!Y11</f>
        <v>44948137.618546933</v>
      </c>
      <c r="Z67" s="94">
        <f t="shared" si="9"/>
        <v>23284523.786072209</v>
      </c>
      <c r="AA67" s="94">
        <f t="shared" si="10"/>
        <v>299646756.89849949</v>
      </c>
      <c r="AB67" s="88"/>
      <c r="AC67" s="88"/>
    </row>
    <row r="68" spans="1:29" ht="18" customHeight="1" x14ac:dyDescent="0.2">
      <c r="A68" s="90" t="s">
        <v>253</v>
      </c>
      <c r="B68" s="94">
        <f>'Cash Flow'!B14+'Cash Flow'!B16</f>
        <v>-8000000</v>
      </c>
      <c r="C68" s="94">
        <f>'Cash Flow'!C14+'Cash Flow'!C16</f>
        <v>0</v>
      </c>
      <c r="D68" s="94">
        <f>'Cash Flow'!D14+'Cash Flow'!D16</f>
        <v>0</v>
      </c>
      <c r="E68" s="94">
        <f>'Cash Flow'!E14+'Cash Flow'!E16</f>
        <v>0</v>
      </c>
      <c r="F68" s="94">
        <f>'Cash Flow'!F14+'Cash Flow'!F16</f>
        <v>0</v>
      </c>
      <c r="G68" s="94">
        <f>'Cash Flow'!G14+'Cash Flow'!G16</f>
        <v>0</v>
      </c>
      <c r="H68" s="94">
        <f>'Cash Flow'!H14+'Cash Flow'!H16</f>
        <v>0</v>
      </c>
      <c r="I68" s="94">
        <f>'Cash Flow'!I14+'Cash Flow'!I16</f>
        <v>0</v>
      </c>
      <c r="J68" s="94">
        <f>'Cash Flow'!J14+'Cash Flow'!J16</f>
        <v>0</v>
      </c>
      <c r="K68" s="94">
        <f>'Cash Flow'!K14+'Cash Flow'!K16</f>
        <v>0</v>
      </c>
      <c r="L68" s="94">
        <f>'Cash Flow'!L14+'Cash Flow'!L16</f>
        <v>0</v>
      </c>
      <c r="M68" s="94">
        <f>'Cash Flow'!M14+'Cash Flow'!M16</f>
        <v>0</v>
      </c>
      <c r="N68" s="94">
        <f>'Cash Flow'!N14+'Cash Flow'!N16</f>
        <v>0</v>
      </c>
      <c r="O68" s="94">
        <f>'Cash Flow'!O14+'Cash Flow'!O16</f>
        <v>0</v>
      </c>
      <c r="P68" s="94">
        <f>'Cash Flow'!P14+'Cash Flow'!P16</f>
        <v>0</v>
      </c>
      <c r="Q68" s="94">
        <f>'Cash Flow'!Q14+'Cash Flow'!Q16</f>
        <v>0</v>
      </c>
      <c r="R68" s="94">
        <f>'Cash Flow'!R14+'Cash Flow'!R16</f>
        <v>0</v>
      </c>
      <c r="S68" s="94">
        <f>'Cash Flow'!S14+'Cash Flow'!S16</f>
        <v>0</v>
      </c>
      <c r="T68" s="94">
        <f>'Cash Flow'!T14+'Cash Flow'!T16</f>
        <v>0</v>
      </c>
      <c r="U68" s="94">
        <f>'Cash Flow'!U14+'Cash Flow'!U16</f>
        <v>0</v>
      </c>
      <c r="V68" s="94">
        <f>'Cash Flow'!V14+'Cash Flow'!V16</f>
        <v>0</v>
      </c>
      <c r="W68" s="94">
        <f>'Cash Flow'!W14+'Cash Flow'!W16</f>
        <v>0</v>
      </c>
      <c r="X68" s="94">
        <f>'Cash Flow'!X14+'Cash Flow'!X16</f>
        <v>0</v>
      </c>
      <c r="Y68" s="94">
        <f>'Cash Flow'!Y14+'Cash Flow'!Y16</f>
        <v>0</v>
      </c>
      <c r="Z68" s="94">
        <f t="shared" si="9"/>
        <v>-8000000</v>
      </c>
      <c r="AA68" s="94">
        <f t="shared" si="10"/>
        <v>0</v>
      </c>
      <c r="AB68" s="88"/>
      <c r="AC68" s="88"/>
    </row>
    <row r="69" spans="1:29" ht="18" customHeight="1" x14ac:dyDescent="0.2">
      <c r="A69" s="90" t="s">
        <v>192</v>
      </c>
      <c r="B69" s="94">
        <f>'Cash Flow'!B15</f>
        <v>0</v>
      </c>
      <c r="C69" s="94">
        <f>'Cash Flow'!C15</f>
        <v>0</v>
      </c>
      <c r="D69" s="94">
        <f>'Cash Flow'!D15</f>
        <v>0</v>
      </c>
      <c r="E69" s="94">
        <f>'Cash Flow'!E15</f>
        <v>0</v>
      </c>
      <c r="F69" s="94">
        <f>'Cash Flow'!F15</f>
        <v>0</v>
      </c>
      <c r="G69" s="94">
        <f>'Cash Flow'!G15</f>
        <v>0</v>
      </c>
      <c r="H69" s="94">
        <f>'Cash Flow'!H15</f>
        <v>0</v>
      </c>
      <c r="I69" s="94">
        <f>'Cash Flow'!I15</f>
        <v>0</v>
      </c>
      <c r="J69" s="94">
        <f>'Cash Flow'!J15</f>
        <v>0</v>
      </c>
      <c r="K69" s="94">
        <f>'Cash Flow'!K15</f>
        <v>0</v>
      </c>
      <c r="L69" s="94">
        <f>'Cash Flow'!L15</f>
        <v>0</v>
      </c>
      <c r="M69" s="94">
        <f>'Cash Flow'!M15</f>
        <v>0</v>
      </c>
      <c r="N69" s="94">
        <f>'Cash Flow'!N15</f>
        <v>0</v>
      </c>
      <c r="O69" s="94">
        <f>'Cash Flow'!O15</f>
        <v>0</v>
      </c>
      <c r="P69" s="94">
        <f>'Cash Flow'!P15</f>
        <v>0</v>
      </c>
      <c r="Q69" s="94">
        <f>'Cash Flow'!Q15</f>
        <v>0</v>
      </c>
      <c r="R69" s="94">
        <f>'Cash Flow'!R15</f>
        <v>0</v>
      </c>
      <c r="S69" s="94">
        <f>'Cash Flow'!S15</f>
        <v>0</v>
      </c>
      <c r="T69" s="94">
        <f>'Cash Flow'!T15</f>
        <v>0</v>
      </c>
      <c r="U69" s="94">
        <f>'Cash Flow'!U15</f>
        <v>0</v>
      </c>
      <c r="V69" s="94">
        <f>'Cash Flow'!V15</f>
        <v>0</v>
      </c>
      <c r="W69" s="94">
        <f>'Cash Flow'!W15</f>
        <v>0</v>
      </c>
      <c r="X69" s="94">
        <f>'Cash Flow'!X15</f>
        <v>0</v>
      </c>
      <c r="Y69" s="94">
        <f>'Cash Flow'!Y15</f>
        <v>0</v>
      </c>
      <c r="Z69" s="94">
        <f t="shared" si="9"/>
        <v>0</v>
      </c>
      <c r="AA69" s="94">
        <f t="shared" si="10"/>
        <v>0</v>
      </c>
      <c r="AB69" s="88"/>
      <c r="AC69" s="88"/>
    </row>
    <row r="70" spans="1:29" ht="18" customHeight="1" x14ac:dyDescent="0.2">
      <c r="A70" s="95" t="s">
        <v>196</v>
      </c>
      <c r="B70" s="96">
        <f>'Cash Flow'!B19</f>
        <v>-10002793.278510736</v>
      </c>
      <c r="C70" s="96">
        <f>'Cash Flow'!C19</f>
        <v>-1741017.2855160572</v>
      </c>
      <c r="D70" s="96">
        <f>'Cash Flow'!D19</f>
        <v>-1465471.2797324578</v>
      </c>
      <c r="E70" s="96">
        <f>'Cash Flow'!E19</f>
        <v>-949540.6585867065</v>
      </c>
      <c r="F70" s="96">
        <f>'Cash Flow'!F19</f>
        <v>-194198.15122470906</v>
      </c>
      <c r="G70" s="96">
        <f>'Cash Flow'!G19</f>
        <v>706965.44529928779</v>
      </c>
      <c r="H70" s="96">
        <f>'Cash Flow'!H19</f>
        <v>1214494.0231163763</v>
      </c>
      <c r="I70" s="96">
        <f>'Cash Flow'!I19</f>
        <v>2395020.2672551563</v>
      </c>
      <c r="J70" s="96">
        <f>'Cash Flow'!J19</f>
        <v>3770315.1670154966</v>
      </c>
      <c r="K70" s="96">
        <f>'Cash Flow'!K19</f>
        <v>5342802.5318403849</v>
      </c>
      <c r="L70" s="96">
        <f>'Cash Flow'!L19</f>
        <v>7115569.2659142418</v>
      </c>
      <c r="M70" s="96">
        <f>'Cash Flow'!M19</f>
        <v>9092377.739201935</v>
      </c>
      <c r="N70" s="96">
        <f>'Cash Flow'!N19</f>
        <v>8313214.0788742304</v>
      </c>
      <c r="O70" s="96">
        <f>'Cash Flow'!O19</f>
        <v>10700723.146809561</v>
      </c>
      <c r="P70" s="96">
        <f>'Cash Flow'!P19</f>
        <v>13293409.068248719</v>
      </c>
      <c r="Q70" s="96">
        <f>'Cash Flow'!Q19</f>
        <v>16084804.114486212</v>
      </c>
      <c r="R70" s="96">
        <f>'Cash Flow'!R19</f>
        <v>19068939.173669111</v>
      </c>
      <c r="S70" s="96">
        <f>'Cash Flow'!S19</f>
        <v>22240321.400427707</v>
      </c>
      <c r="T70" s="96">
        <f>'Cash Flow'!T19</f>
        <v>25593913.108911186</v>
      </c>
      <c r="U70" s="96">
        <f>'Cash Flow'!U19</f>
        <v>29125111.84679712</v>
      </c>
      <c r="V70" s="96">
        <f>'Cash Flow'!V19</f>
        <v>32829731.591203641</v>
      </c>
      <c r="W70" s="96">
        <f>'Cash Flow'!W19</f>
        <v>36703985.010611773</v>
      </c>
      <c r="X70" s="96">
        <f>'Cash Flow'!X19</f>
        <v>40744466.739913322</v>
      </c>
      <c r="Y70" s="96">
        <f>'Cash Flow'!Y19</f>
        <v>44948137.618546933</v>
      </c>
      <c r="Z70" s="96">
        <f t="shared" si="9"/>
        <v>15284523.786072211</v>
      </c>
      <c r="AA70" s="96">
        <f t="shared" si="10"/>
        <v>299646756.89849949</v>
      </c>
      <c r="AB70" s="88"/>
      <c r="AC70" s="88"/>
    </row>
    <row r="71" spans="1:29" ht="18" customHeight="1" x14ac:dyDescent="0.2">
      <c r="A71" s="90" t="s">
        <v>210</v>
      </c>
      <c r="B71" s="99">
        <f>'Cash Flow'!B21</f>
        <v>0.98492137526088874</v>
      </c>
      <c r="C71" s="99">
        <f>'Cash Flow'!C21</f>
        <v>0.97007011544580046</v>
      </c>
      <c r="D71" s="99">
        <f>'Cash Flow'!D21</f>
        <v>0.95544279220436679</v>
      </c>
      <c r="E71" s="99">
        <f>'Cash Flow'!E21</f>
        <v>0.94103602888102844</v>
      </c>
      <c r="F71" s="99">
        <f>'Cash Flow'!F21</f>
        <v>0.926846499735548</v>
      </c>
      <c r="G71" s="99">
        <f>'Cash Flow'!G21</f>
        <v>0.9128709291752769</v>
      </c>
      <c r="H71" s="99">
        <f>'Cash Flow'!H21</f>
        <v>0.89910609099899896</v>
      </c>
      <c r="I71" s="99">
        <f>'Cash Flow'!I21</f>
        <v>0.88554880765217592</v>
      </c>
      <c r="J71" s="99">
        <f>'Cash Flow'!J21</f>
        <v>0.87219594949342127</v>
      </c>
      <c r="K71" s="99">
        <f>'Cash Flow'!K21</f>
        <v>0.85904443407203712</v>
      </c>
      <c r="L71" s="99">
        <f>'Cash Flow'!L21</f>
        <v>0.84609122541644266</v>
      </c>
      <c r="M71" s="99">
        <f>'Cash Flow'!M21</f>
        <v>0.83333333333333337</v>
      </c>
      <c r="N71" s="99">
        <f>'Cash Flow'!N21</f>
        <v>0.82076781271740729</v>
      </c>
      <c r="O71" s="99">
        <f>'Cash Flow'!O21</f>
        <v>0.80839176287150039</v>
      </c>
      <c r="P71" s="99">
        <f>'Cash Flow'!P21</f>
        <v>0.79620232683697245</v>
      </c>
      <c r="Q71" s="99">
        <f>'Cash Flow'!Q21</f>
        <v>0.7841966907341904</v>
      </c>
      <c r="R71" s="99">
        <f>'Cash Flow'!R21</f>
        <v>0.77237208311295658</v>
      </c>
      <c r="S71" s="99">
        <f>'Cash Flow'!S21</f>
        <v>0.7607257743127307</v>
      </c>
      <c r="T71" s="99">
        <f>'Cash Flow'!T21</f>
        <v>0.74925507583249917</v>
      </c>
      <c r="U71" s="99">
        <f>'Cash Flow'!U21</f>
        <v>0.73795733971014654</v>
      </c>
      <c r="V71" s="99">
        <f>'Cash Flow'!V21</f>
        <v>0.72682995791118443</v>
      </c>
      <c r="W71" s="99">
        <f>'Cash Flow'!W21</f>
        <v>0.71587036172669771</v>
      </c>
      <c r="X71" s="99">
        <f>'Cash Flow'!X21</f>
        <v>0.70507602118036894</v>
      </c>
      <c r="Y71" s="99">
        <f>'Cash Flow'!Y21</f>
        <v>0.69444444444444442</v>
      </c>
      <c r="Z71" s="99">
        <f>AVERAGE(B71:M71)</f>
        <v>0.90720896513911009</v>
      </c>
      <c r="AA71" s="99">
        <f>AVERAGE(N71:Y71)</f>
        <v>0.75600747094925824</v>
      </c>
      <c r="AB71" s="88"/>
      <c r="AC71" s="88"/>
    </row>
    <row r="72" spans="1:29" ht="18" customHeight="1" x14ac:dyDescent="0.2">
      <c r="A72" s="95" t="s">
        <v>254</v>
      </c>
      <c r="B72" s="96">
        <f>'Cash Flow'!B22</f>
        <v>-9851964.9123211689</v>
      </c>
      <c r="C72" s="96">
        <f>'Cash Flow'!C22</f>
        <v>-1688908.8391536956</v>
      </c>
      <c r="D72" s="96">
        <f>'Cash Flow'!D22</f>
        <v>-1400173.9714028861</v>
      </c>
      <c r="E72" s="96">
        <f>'Cash Flow'!E22</f>
        <v>-893551.97061751073</v>
      </c>
      <c r="F72" s="96">
        <f>'Cash Flow'!F22</f>
        <v>-179991.87671773622</v>
      </c>
      <c r="G72" s="96">
        <f>'Cash Flow'!G22</f>
        <v>645368.2029451743</v>
      </c>
      <c r="H72" s="96">
        <f>'Cash Flow'!H22</f>
        <v>1091958.973665813</v>
      </c>
      <c r="I72" s="96">
        <f>'Cash Flow'!I22</f>
        <v>2120907.3419705993</v>
      </c>
      <c r="J72" s="96">
        <f>'Cash Flow'!J22</f>
        <v>3288453.6169845285</v>
      </c>
      <c r="K72" s="96">
        <f>'Cash Flow'!K22</f>
        <v>4589704.7773234705</v>
      </c>
      <c r="L72" s="96">
        <f>'Cash Flow'!L22</f>
        <v>6020420.7197329579</v>
      </c>
      <c r="M72" s="96">
        <f>'Cash Flow'!M22</f>
        <v>7576981.4493349465</v>
      </c>
      <c r="N72" s="96">
        <f>'Cash Flow'!N22</f>
        <v>6823218.5361691583</v>
      </c>
      <c r="O72" s="96">
        <f>'Cash Flow'!O22</f>
        <v>8650376.44864925</v>
      </c>
      <c r="P72" s="96">
        <f>'Cash Flow'!P22</f>
        <v>10584243.231735339</v>
      </c>
      <c r="Q72" s="96">
        <f>'Cash Flow'!Q22</f>
        <v>12613650.157687778</v>
      </c>
      <c r="R72" s="96">
        <f>'Cash Flow'!R22</f>
        <v>14728316.272321071</v>
      </c>
      <c r="S72" s="96">
        <f>'Cash Flow'!S22</f>
        <v>16918785.718304362</v>
      </c>
      <c r="T72" s="96">
        <f>'Cash Flow'!T22</f>
        <v>19176369.307267647</v>
      </c>
      <c r="U72" s="96">
        <f>'Cash Flow'!U22</f>
        <v>21493090.057222877</v>
      </c>
      <c r="V72" s="96">
        <f>'Cash Flow'!V22</f>
        <v>23861632.430670023</v>
      </c>
      <c r="W72" s="96">
        <f>'Cash Flow'!W22</f>
        <v>26275295.026357941</v>
      </c>
      <c r="X72" s="96">
        <f>'Cash Flow'!X22</f>
        <v>28727946.494093962</v>
      </c>
      <c r="Y72" s="96">
        <f>'Cash Flow'!Y22</f>
        <v>31213984.457324259</v>
      </c>
      <c r="Z72" s="96">
        <f>SUM(B72:M72)</f>
        <v>11319203.511744494</v>
      </c>
      <c r="AA72" s="96">
        <f>SUM(N72:Y72)</f>
        <v>221066908.13780367</v>
      </c>
      <c r="AB72" s="88"/>
      <c r="AC72" s="88"/>
    </row>
    <row r="73" spans="1:29" ht="7.5" customHeight="1" x14ac:dyDescent="0.2">
      <c r="A73" s="88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88"/>
      <c r="AC73" s="88"/>
    </row>
    <row r="74" spans="1:29" ht="19.5" customHeight="1" x14ac:dyDescent="0.15">
      <c r="A74" s="131" t="s">
        <v>256</v>
      </c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</row>
    <row r="75" spans="1:29" ht="18" customHeight="1" x14ac:dyDescent="0.2">
      <c r="A75" s="90" t="s">
        <v>125</v>
      </c>
      <c r="B75" s="94">
        <f>'P&amp;L'!B7*$D$6</f>
        <v>0</v>
      </c>
      <c r="C75" s="94">
        <f>'P&amp;L'!C7*$D$6</f>
        <v>0</v>
      </c>
      <c r="D75" s="94">
        <f>'P&amp;L'!D7*$D$6</f>
        <v>0</v>
      </c>
      <c r="E75" s="94">
        <f>'P&amp;L'!E7*$D$6</f>
        <v>167310</v>
      </c>
      <c r="F75" s="94">
        <f>'P&amp;L'!F7*$D$6</f>
        <v>501093.44999999995</v>
      </c>
      <c r="G75" s="94">
        <f>'P&amp;L'!G7*$D$6</f>
        <v>1001045.0092500001</v>
      </c>
      <c r="H75" s="94">
        <f>'P&amp;L'!H7*$D$6</f>
        <v>1667392.7840212502</v>
      </c>
      <c r="I75" s="94">
        <f>'P&amp;L'!I7*$D$6</f>
        <v>2500902.1898530312</v>
      </c>
      <c r="J75" s="94">
        <f>'P&amp;L'!J7*$D$6</f>
        <v>3502881.461105987</v>
      </c>
      <c r="K75" s="94">
        <f>'P&amp;L'!K7*$D$6</f>
        <v>4675188.8357566614</v>
      </c>
      <c r="L75" s="94">
        <f>'P&amp;L'!L7*$D$6</f>
        <v>6020241.4485910572</v>
      </c>
      <c r="M75" s="94">
        <f>'P&amp;L'!M7*$D$6</f>
        <v>7541025.9713141574</v>
      </c>
      <c r="N75" s="94">
        <f>'P&amp;L'!N7*$D$6</f>
        <v>9241111.043604549</v>
      </c>
      <c r="O75" s="94">
        <f>'P&amp;L'!O7*$D$6</f>
        <v>11124661.544826169</v>
      </c>
      <c r="P75" s="94">
        <f>'P&amp;L'!P7*$D$6</f>
        <v>13196454.761980778</v>
      </c>
      <c r="Q75" s="94">
        <f>'P&amp;L'!Q7*$D$6</f>
        <v>15450782.363951696</v>
      </c>
      <c r="R75" s="94">
        <f>'P&amp;L'!R7*$D$6</f>
        <v>17882364.381815244</v>
      </c>
      <c r="S75" s="94">
        <f>'P&amp;L'!S7*$D$6</f>
        <v>20486330.609114226</v>
      </c>
      <c r="T75" s="94">
        <f>'P&amp;L'!T7*$D$6</f>
        <v>23258203.013906188</v>
      </c>
      <c r="U75" s="94">
        <f>'P&amp;L'!U7*$D$6</f>
        <v>26193879.11387245</v>
      </c>
      <c r="V75" s="94">
        <f>'P&amp;L'!V7*$D$6</f>
        <v>29289616.268259156</v>
      </c>
      <c r="W75" s="94">
        <f>'P&amp;L'!W7*$D$6</f>
        <v>32542016.842783473</v>
      </c>
      <c r="X75" s="94">
        <f>'P&amp;L'!X7*$D$6</f>
        <v>35948014.205883361</v>
      </c>
      <c r="Y75" s="94">
        <f>'P&amp;L'!Y7*$D$6</f>
        <v>39504859.516823538</v>
      </c>
      <c r="Z75" s="94">
        <f t="shared" ref="Z75:Z90" si="11">SUM(B75:M75)</f>
        <v>27577081.149892148</v>
      </c>
      <c r="AA75" s="94">
        <f t="shared" ref="AA75:AA90" si="12">SUM(N75:Y75)</f>
        <v>274118293.66682082</v>
      </c>
      <c r="AB75" s="88"/>
      <c r="AC75" s="88"/>
    </row>
    <row r="76" spans="1:29" ht="18" customHeight="1" x14ac:dyDescent="0.2">
      <c r="A76" s="90" t="s">
        <v>126</v>
      </c>
      <c r="B76" s="94">
        <f>'P&amp;L'!B8*$D$7</f>
        <v>418693.27500000002</v>
      </c>
      <c r="C76" s="94">
        <f>'P&amp;L'!C8*$D$7</f>
        <v>854134.28100000008</v>
      </c>
      <c r="D76" s="94">
        <f>'P&amp;L'!D8*$D$7</f>
        <v>1307495.3591700003</v>
      </c>
      <c r="E76" s="94">
        <f>'P&amp;L'!E8*$D$7</f>
        <v>1906544.0291040004</v>
      </c>
      <c r="F76" s="94">
        <f>'P&amp;L'!F8*$D$7</f>
        <v>2651325.4183913642</v>
      </c>
      <c r="G76" s="94">
        <f>'P&amp;L'!G8*$D$7</f>
        <v>3542377.6053038975</v>
      </c>
      <c r="H76" s="94">
        <f>'P&amp;L'!H8*$D$7</f>
        <v>4580735.5749528147</v>
      </c>
      <c r="I76" s="94">
        <f>'P&amp;L'!I8*$D$7</f>
        <v>5767936.7160339747</v>
      </c>
      <c r="J76" s="94">
        <f>'P&amp;L'!J8*$D$7</f>
        <v>7106027.8849922502</v>
      </c>
      <c r="K76" s="94">
        <f>'P&amp;L'!K8*$D$7</f>
        <v>8597574.0693348292</v>
      </c>
      <c r="L76" s="94">
        <f>'P&amp;L'!L8*$D$7</f>
        <v>10245668.686851492</v>
      </c>
      <c r="M76" s="94">
        <f>'P&amp;L'!M8*$D$7</f>
        <v>12053945.562673496</v>
      </c>
      <c r="N76" s="94">
        <f>'P&amp;L'!N8*$D$7</f>
        <v>13998774.462026903</v>
      </c>
      <c r="O76" s="94">
        <f>'P&amp;L'!O8*$D$7</f>
        <v>16083104.728094399</v>
      </c>
      <c r="P76" s="94">
        <f>'P&amp;L'!P8*$D$7</f>
        <v>18310349.514647063</v>
      </c>
      <c r="Q76" s="94">
        <f>'P&amp;L'!Q8*$D$7</f>
        <v>20675990.885324154</v>
      </c>
      <c r="R76" s="94">
        <f>'P&amp;L'!R8*$D$7</f>
        <v>23175873.5050482</v>
      </c>
      <c r="S76" s="94">
        <f>'P&amp;L'!S8*$D$7</f>
        <v>25806188.507377956</v>
      </c>
      <c r="T76" s="94">
        <f>'P&amp;L'!T8*$D$7</f>
        <v>28563458.246833101</v>
      </c>
      <c r="U76" s="94">
        <f>'P&amp;L'!U8*$D$7</f>
        <v>31444521.893332351</v>
      </c>
      <c r="V76" s="94">
        <f>'P&amp;L'!V8*$D$7</f>
        <v>34446521.828076012</v>
      </c>
      <c r="W76" s="94">
        <f>'P&amp;L'!W8*$D$7</f>
        <v>37566890.802284122</v>
      </c>
      <c r="X76" s="94">
        <f>'P&amp;L'!X8*$D$7</f>
        <v>40803339.822179161</v>
      </c>
      <c r="Y76" s="94">
        <f>'P&amp;L'!Y8*$D$7</f>
        <v>44153846.7254816</v>
      </c>
      <c r="Z76" s="94">
        <f t="shared" si="11"/>
        <v>59032458.462808117</v>
      </c>
      <c r="AA76" s="94">
        <f t="shared" si="12"/>
        <v>335028860.92070496</v>
      </c>
      <c r="AB76" s="88"/>
      <c r="AC76" s="88"/>
    </row>
    <row r="77" spans="1:29" ht="18" customHeight="1" x14ac:dyDescent="0.2">
      <c r="A77" s="95" t="s">
        <v>127</v>
      </c>
      <c r="B77" s="96">
        <f t="shared" ref="B77:Y77" si="13">SUM(B75:B76)</f>
        <v>418693.27500000002</v>
      </c>
      <c r="C77" s="96">
        <f t="shared" si="13"/>
        <v>854134.28100000008</v>
      </c>
      <c r="D77" s="96">
        <f t="shared" si="13"/>
        <v>1307495.3591700003</v>
      </c>
      <c r="E77" s="96">
        <f t="shared" si="13"/>
        <v>2073854.0291040004</v>
      </c>
      <c r="F77" s="96">
        <f t="shared" si="13"/>
        <v>3152418.8683913639</v>
      </c>
      <c r="G77" s="96">
        <f t="shared" si="13"/>
        <v>4543422.6145538976</v>
      </c>
      <c r="H77" s="96">
        <f t="shared" si="13"/>
        <v>6248128.3589740647</v>
      </c>
      <c r="I77" s="96">
        <f t="shared" si="13"/>
        <v>8268838.9058870059</v>
      </c>
      <c r="J77" s="96">
        <f t="shared" si="13"/>
        <v>10608909.346098237</v>
      </c>
      <c r="K77" s="96">
        <f t="shared" si="13"/>
        <v>13272762.905091491</v>
      </c>
      <c r="L77" s="96">
        <f t="shared" si="13"/>
        <v>16265910.135442549</v>
      </c>
      <c r="M77" s="96">
        <f t="shared" si="13"/>
        <v>19594971.533987653</v>
      </c>
      <c r="N77" s="96">
        <f t="shared" si="13"/>
        <v>23239885.505631454</v>
      </c>
      <c r="O77" s="96">
        <f t="shared" si="13"/>
        <v>27207766.272920568</v>
      </c>
      <c r="P77" s="96">
        <f t="shared" si="13"/>
        <v>31506804.276627839</v>
      </c>
      <c r="Q77" s="96">
        <f t="shared" si="13"/>
        <v>36126773.249275848</v>
      </c>
      <c r="R77" s="96">
        <f t="shared" si="13"/>
        <v>41058237.88686344</v>
      </c>
      <c r="S77" s="96">
        <f t="shared" si="13"/>
        <v>46292519.116492182</v>
      </c>
      <c r="T77" s="96">
        <f t="shared" si="13"/>
        <v>51821661.260739289</v>
      </c>
      <c r="U77" s="96">
        <f t="shared" si="13"/>
        <v>57638401.007204801</v>
      </c>
      <c r="V77" s="96">
        <f t="shared" si="13"/>
        <v>63736138.096335173</v>
      </c>
      <c r="W77" s="96">
        <f t="shared" si="13"/>
        <v>70108907.645067602</v>
      </c>
      <c r="X77" s="96">
        <f t="shared" si="13"/>
        <v>76751354.028062522</v>
      </c>
      <c r="Y77" s="96">
        <f t="shared" si="13"/>
        <v>83658706.24230513</v>
      </c>
      <c r="Z77" s="96">
        <f t="shared" si="11"/>
        <v>86609539.612700254</v>
      </c>
      <c r="AA77" s="96">
        <f t="shared" si="12"/>
        <v>609147154.58752584</v>
      </c>
      <c r="AB77" s="88"/>
      <c r="AC77" s="88"/>
    </row>
    <row r="78" spans="1:29" ht="18" customHeight="1" x14ac:dyDescent="0.2">
      <c r="A78" s="90" t="s">
        <v>143</v>
      </c>
      <c r="B78" s="94">
        <f>Costs!B15*$D$8</f>
        <v>1800000</v>
      </c>
      <c r="C78" s="94">
        <f>Costs!C15*$D$8</f>
        <v>1800000</v>
      </c>
      <c r="D78" s="94">
        <f>Costs!D15*$D$8</f>
        <v>1800000</v>
      </c>
      <c r="E78" s="94">
        <f>Costs!E15*$D$8</f>
        <v>1800000</v>
      </c>
      <c r="F78" s="94">
        <f>Costs!F15*$D$8</f>
        <v>1800000</v>
      </c>
      <c r="G78" s="94">
        <f>Costs!G15*$D$8</f>
        <v>1800000</v>
      </c>
      <c r="H78" s="94">
        <f>Costs!H15*$D$8</f>
        <v>2340000</v>
      </c>
      <c r="I78" s="94">
        <f>Costs!I15*$D$8</f>
        <v>2340000</v>
      </c>
      <c r="J78" s="94">
        <f>Costs!J15*$D$8</f>
        <v>2340000</v>
      </c>
      <c r="K78" s="94">
        <f>Costs!K15*$D$8</f>
        <v>2340000</v>
      </c>
      <c r="L78" s="94">
        <f>Costs!L15*$D$8</f>
        <v>2340000</v>
      </c>
      <c r="M78" s="94">
        <f>Costs!M15*$D$8</f>
        <v>2340000</v>
      </c>
      <c r="N78" s="94">
        <f>Costs!N15*$D$8</f>
        <v>2880000</v>
      </c>
      <c r="O78" s="94">
        <f>Costs!O15*$D$8</f>
        <v>2880000</v>
      </c>
      <c r="P78" s="94">
        <f>Costs!P15*$D$8</f>
        <v>2880000</v>
      </c>
      <c r="Q78" s="94">
        <f>Costs!Q15*$D$8</f>
        <v>2880000</v>
      </c>
      <c r="R78" s="94">
        <f>Costs!R15*$D$8</f>
        <v>2880000</v>
      </c>
      <c r="S78" s="94">
        <f>Costs!S15*$D$8</f>
        <v>2880000</v>
      </c>
      <c r="T78" s="94">
        <f>Costs!T15*$D$8</f>
        <v>2880000</v>
      </c>
      <c r="U78" s="94">
        <f>Costs!U15*$D$8</f>
        <v>2880000</v>
      </c>
      <c r="V78" s="94">
        <f>Costs!V15*$D$8</f>
        <v>2880000</v>
      </c>
      <c r="W78" s="94">
        <f>Costs!W15*$D$8</f>
        <v>2880000</v>
      </c>
      <c r="X78" s="94">
        <f>Costs!X15*$D$8</f>
        <v>2880000</v>
      </c>
      <c r="Y78" s="94">
        <f>Costs!Y15*$D$8</f>
        <v>2880000</v>
      </c>
      <c r="Z78" s="94">
        <f t="shared" si="11"/>
        <v>24840000</v>
      </c>
      <c r="AA78" s="94">
        <f t="shared" si="12"/>
        <v>34560000</v>
      </c>
      <c r="AB78" s="88"/>
      <c r="AC78" s="88"/>
    </row>
    <row r="79" spans="1:29" ht="18" customHeight="1" x14ac:dyDescent="0.2">
      <c r="A79" s="90" t="s">
        <v>146</v>
      </c>
      <c r="B79" s="94">
        <f>Costs!B18*$D$9</f>
        <v>93075.33188130935</v>
      </c>
      <c r="C79" s="94">
        <f>Costs!C18*$D$9</f>
        <v>100633.04883007168</v>
      </c>
      <c r="D79" s="94">
        <f>Costs!D18*$D$9</f>
        <v>108804.45239507352</v>
      </c>
      <c r="E79" s="94">
        <f>Costs!E18*$D$9</f>
        <v>117639.37392955348</v>
      </c>
      <c r="F79" s="94">
        <f>Costs!F18*$D$9</f>
        <v>127191.69109263323</v>
      </c>
      <c r="G79" s="94">
        <f>Costs!G18*$D$9</f>
        <v>137519.65640935506</v>
      </c>
      <c r="H79" s="94">
        <f>Costs!H18*$D$9</f>
        <v>148686.25250979469</v>
      </c>
      <c r="I79" s="94">
        <f>Costs!I18*$D$9</f>
        <v>160759.57621358999</v>
      </c>
      <c r="J79" s="94">
        <f>Costs!J18*$D$9</f>
        <v>173813.25380213352</v>
      </c>
      <c r="K79" s="94">
        <f>Costs!K18*$D$9</f>
        <v>187926.89001086677</v>
      </c>
      <c r="L79" s="94">
        <f>Costs!L18*$D$9</f>
        <v>203186.55347974916</v>
      </c>
      <c r="M79" s="94">
        <f>Costs!M18*$D$9</f>
        <v>219685.30162230477</v>
      </c>
      <c r="N79" s="94">
        <f>Costs!N18*$D$9</f>
        <v>2833333.3333333335</v>
      </c>
      <c r="O79" s="94">
        <f>Costs!O18*$D$9</f>
        <v>2833333.3333333335</v>
      </c>
      <c r="P79" s="94">
        <f>Costs!P18*$D$9</f>
        <v>2833333.3333333335</v>
      </c>
      <c r="Q79" s="94">
        <f>Costs!Q18*$D$9</f>
        <v>2833333.3333333335</v>
      </c>
      <c r="R79" s="94">
        <f>Costs!R18*$D$9</f>
        <v>2833333.3333333335</v>
      </c>
      <c r="S79" s="94">
        <f>Costs!S18*$D$9</f>
        <v>2833333.3333333335</v>
      </c>
      <c r="T79" s="94">
        <f>Costs!T18*$D$9</f>
        <v>2833333.3333333335</v>
      </c>
      <c r="U79" s="94">
        <f>Costs!U18*$D$9</f>
        <v>2833333.3333333335</v>
      </c>
      <c r="V79" s="94">
        <f>Costs!V18*$D$9</f>
        <v>2833333.3333333335</v>
      </c>
      <c r="W79" s="94">
        <f>Costs!W18*$D$9</f>
        <v>2833333.3333333335</v>
      </c>
      <c r="X79" s="94">
        <f>Costs!X18*$D$9</f>
        <v>2833333.3333333335</v>
      </c>
      <c r="Y79" s="94">
        <f>Costs!Y18*$D$9</f>
        <v>2833333.3333333335</v>
      </c>
      <c r="Z79" s="94">
        <f t="shared" si="11"/>
        <v>1778921.3821764356</v>
      </c>
      <c r="AA79" s="94">
        <f t="shared" si="12"/>
        <v>33999999.999999993</v>
      </c>
      <c r="AB79" s="88"/>
      <c r="AC79" s="88"/>
    </row>
    <row r="80" spans="1:29" ht="18" customHeight="1" x14ac:dyDescent="0.2">
      <c r="A80" s="90" t="s">
        <v>169</v>
      </c>
      <c r="B80" s="94">
        <f>Costs!B21*$D$10</f>
        <v>42748.224886782096</v>
      </c>
      <c r="C80" s="94">
        <f>Costs!C21*$D$10</f>
        <v>84782.160275828559</v>
      </c>
      <c r="D80" s="94">
        <f>Costs!D21*$D$10</f>
        <v>126353.61318655066</v>
      </c>
      <c r="E80" s="94">
        <f>Costs!E21*$D$10</f>
        <v>167664.93572088226</v>
      </c>
      <c r="F80" s="94">
        <f>Costs!F21*$D$10</f>
        <v>208912.6460446977</v>
      </c>
      <c r="G80" s="94">
        <f>Costs!G21*$D$10</f>
        <v>250288.49470552834</v>
      </c>
      <c r="H80" s="94">
        <f>Costs!H21*$D$10</f>
        <v>291980.48270358657</v>
      </c>
      <c r="I80" s="94">
        <f>Costs!I21*$D$10</f>
        <v>334173.83734522841</v>
      </c>
      <c r="J80" s="94">
        <f>Costs!J21*$D$10</f>
        <v>377051.95155852492</v>
      </c>
      <c r="K80" s="94">
        <f>Costs!K21*$D$10</f>
        <v>420797.29203694739</v>
      </c>
      <c r="L80" s="94">
        <f>Costs!L21*$D$10</f>
        <v>465592.28129691043</v>
      </c>
      <c r="M80" s="94">
        <f>Costs!M21*$D$10</f>
        <v>511620.15848589799</v>
      </c>
      <c r="N80" s="94">
        <f>Costs!N21*$D$10</f>
        <v>556228.43599867169</v>
      </c>
      <c r="O80" s="94">
        <f>Costs!O21*$D$10</f>
        <v>599578.2058714719</v>
      </c>
      <c r="P80" s="94">
        <f>Costs!P21*$D$10</f>
        <v>641819.31296420982</v>
      </c>
      <c r="Q80" s="94">
        <f>Costs!Q21*$D$10</f>
        <v>683091.27313498734</v>
      </c>
      <c r="R80" s="94">
        <f>Costs!R21*$D$10</f>
        <v>723524.11955087772</v>
      </c>
      <c r="S80" s="94">
        <f>Costs!S21*$D$10</f>
        <v>763239.18286731245</v>
      </c>
      <c r="T80" s="94">
        <f>Costs!T21*$D$10</f>
        <v>802349.81055223604</v>
      </c>
      <c r="U80" s="94">
        <f>Costs!U21*$D$10</f>
        <v>840962.03021142492</v>
      </c>
      <c r="V80" s="94">
        <f>Costs!V21*$D$10</f>
        <v>879175.16138510429</v>
      </c>
      <c r="W80" s="94">
        <f>Costs!W21*$D$10</f>
        <v>917082.37993056339</v>
      </c>
      <c r="X80" s="94">
        <f>Costs!X21*$D$10</f>
        <v>954771.23877840629</v>
      </c>
      <c r="Y80" s="94">
        <f>Costs!Y21*$D$10</f>
        <v>992324.14854911191</v>
      </c>
      <c r="Z80" s="94">
        <f t="shared" si="11"/>
        <v>3281966.0782473651</v>
      </c>
      <c r="AA80" s="94">
        <f t="shared" si="12"/>
        <v>9354145.2997943778</v>
      </c>
      <c r="AB80" s="88"/>
      <c r="AC80" s="88"/>
    </row>
    <row r="81" spans="1:29" ht="18" customHeight="1" x14ac:dyDescent="0.2">
      <c r="A81" s="95" t="s">
        <v>250</v>
      </c>
      <c r="B81" s="96">
        <f>SUM(B78:B80)+Costs!B24+Costs!B25</f>
        <v>2100896.1655516615</v>
      </c>
      <c r="C81" s="96">
        <f>SUM(C78:C80)+Costs!C24+Costs!C25</f>
        <v>2165323.3244973691</v>
      </c>
      <c r="D81" s="96">
        <f>SUM(D78:D80)+Costs!D24+Costs!D25</f>
        <v>2229738.4584709951</v>
      </c>
      <c r="E81" s="96">
        <f>SUM(E78:E80)+Costs!E24+Costs!E25</f>
        <v>2294465.1693166294</v>
      </c>
      <c r="F81" s="96">
        <f>SUM(F78:F80)+Costs!F24+Costs!F25</f>
        <v>2359823.2122119302</v>
      </c>
      <c r="G81" s="96">
        <f>SUM(G78:G80)+Costs!G24+Costs!G25</f>
        <v>2426130.2668933049</v>
      </c>
      <c r="H81" s="96">
        <f>SUM(H78:H80)+Costs!H24+Costs!H25</f>
        <v>3033703.6702852352</v>
      </c>
      <c r="I81" s="96">
        <f>SUM(I78:I80)+Costs!I24+Costs!I25</f>
        <v>3102862.1208571345</v>
      </c>
      <c r="J81" s="96">
        <f>SUM(J78:J80)+Costs!J24+Costs!J25</f>
        <v>3173927.3647342557</v>
      </c>
      <c r="K81" s="96">
        <f>SUM(K78:K80)+Costs!K24+Costs!K25</f>
        <v>3247225.8733549719</v>
      </c>
      <c r="L81" s="96">
        <f>SUM(L78:L80)+Costs!L24+Costs!L25</f>
        <v>3323090.5222932161</v>
      </c>
      <c r="M81" s="96">
        <f>SUM(M78:M80)+Costs!M24+Costs!M25</f>
        <v>3401862.280750284</v>
      </c>
      <c r="N81" s="96">
        <f>SUM(N78:N80)+Costs!N24+Costs!N25</f>
        <v>6650492.7797785485</v>
      </c>
      <c r="O81" s="96">
        <f>SUM(O78:O80)+Costs!O24+Costs!O25</f>
        <v>6710672.4603078477</v>
      </c>
      <c r="P81" s="96">
        <f>SUM(P78:P80)+Costs!P24+Costs!P25</f>
        <v>6769313.0560365906</v>
      </c>
      <c r="Q81" s="96">
        <f>SUM(Q78:Q80)+Costs!Q24+Costs!Q25</f>
        <v>6826608.2478030818</v>
      </c>
      <c r="R81" s="96">
        <f>SUM(R78:R80)+Costs!R24+Costs!R25</f>
        <v>6882738.5522392588</v>
      </c>
      <c r="S81" s="96">
        <f>SUM(S78:S80)+Costs!S24+Costs!S25</f>
        <v>6937872.4048432503</v>
      </c>
      <c r="T81" s="96">
        <f>SUM(T78:T80)+Costs!T24+Costs!T25</f>
        <v>6992167.158570555</v>
      </c>
      <c r="U81" s="96">
        <f>SUM(U78:U80)+Costs!U24+Costs!U25</f>
        <v>7045770.0046856645</v>
      </c>
      <c r="V81" s="96">
        <f>SUM(V78:V80)+Costs!V24+Costs!V25</f>
        <v>7098818.8220797135</v>
      </c>
      <c r="W81" s="96">
        <f>SUM(W78:W80)+Costs!W24+Costs!W25</f>
        <v>7151442.9607663509</v>
      </c>
      <c r="X81" s="96">
        <f>SUM(X78:X80)+Costs!X24+Costs!X25</f>
        <v>7203763.9648139458</v>
      </c>
      <c r="Y81" s="96">
        <f>SUM(Y78:Y80)+Costs!Y24+Costs!Y25</f>
        <v>7255896.2395544536</v>
      </c>
      <c r="Z81" s="96">
        <f t="shared" si="11"/>
        <v>32859048.429216988</v>
      </c>
      <c r="AA81" s="96">
        <f t="shared" si="12"/>
        <v>83525556.651479259</v>
      </c>
      <c r="AB81" s="88"/>
      <c r="AC81" s="88"/>
    </row>
    <row r="82" spans="1:29" ht="18" customHeight="1" x14ac:dyDescent="0.2">
      <c r="A82" s="95" t="s">
        <v>172</v>
      </c>
      <c r="B82" s="96">
        <f t="shared" ref="B82:Y82" si="14">B77-B81</f>
        <v>-1682202.8905516616</v>
      </c>
      <c r="C82" s="96">
        <f t="shared" si="14"/>
        <v>-1311189.0434973692</v>
      </c>
      <c r="D82" s="96">
        <f t="shared" si="14"/>
        <v>-922243.09930099477</v>
      </c>
      <c r="E82" s="96">
        <f t="shared" si="14"/>
        <v>-220611.14021262899</v>
      </c>
      <c r="F82" s="96">
        <f t="shared" si="14"/>
        <v>792595.65617943369</v>
      </c>
      <c r="G82" s="96">
        <f t="shared" si="14"/>
        <v>2117292.3476605928</v>
      </c>
      <c r="H82" s="96">
        <f t="shared" si="14"/>
        <v>3214424.6886888295</v>
      </c>
      <c r="I82" s="96">
        <f t="shared" si="14"/>
        <v>5165976.7850298714</v>
      </c>
      <c r="J82" s="96">
        <f t="shared" si="14"/>
        <v>7434981.981363981</v>
      </c>
      <c r="K82" s="96">
        <f t="shared" si="14"/>
        <v>10025537.031736519</v>
      </c>
      <c r="L82" s="96">
        <f t="shared" si="14"/>
        <v>12942819.613149334</v>
      </c>
      <c r="M82" s="96">
        <f t="shared" si="14"/>
        <v>16193109.253237369</v>
      </c>
      <c r="N82" s="96">
        <f t="shared" si="14"/>
        <v>16589392.725852907</v>
      </c>
      <c r="O82" s="96">
        <f t="shared" si="14"/>
        <v>20497093.81261272</v>
      </c>
      <c r="P82" s="96">
        <f t="shared" si="14"/>
        <v>24737491.220591247</v>
      </c>
      <c r="Q82" s="96">
        <f t="shared" si="14"/>
        <v>29300165.001472767</v>
      </c>
      <c r="R82" s="96">
        <f t="shared" si="14"/>
        <v>34175499.334624179</v>
      </c>
      <c r="S82" s="96">
        <f t="shared" si="14"/>
        <v>39354646.711648934</v>
      </c>
      <c r="T82" s="96">
        <f t="shared" si="14"/>
        <v>44829494.102168731</v>
      </c>
      <c r="U82" s="96">
        <f t="shared" si="14"/>
        <v>50592631.002519138</v>
      </c>
      <c r="V82" s="96">
        <f t="shared" si="14"/>
        <v>56637319.274255462</v>
      </c>
      <c r="W82" s="96">
        <f t="shared" si="14"/>
        <v>62957464.68430125</v>
      </c>
      <c r="X82" s="96">
        <f t="shared" si="14"/>
        <v>69547590.063248575</v>
      </c>
      <c r="Y82" s="96">
        <f t="shared" si="14"/>
        <v>76402810.00275068</v>
      </c>
      <c r="Z82" s="96">
        <f t="shared" si="11"/>
        <v>53750491.183483273</v>
      </c>
      <c r="AA82" s="96">
        <f t="shared" si="12"/>
        <v>525621597.9360466</v>
      </c>
      <c r="AB82" s="88"/>
      <c r="AC82" s="88"/>
    </row>
    <row r="83" spans="1:29" ht="18" customHeight="1" x14ac:dyDescent="0.2">
      <c r="A83" s="90" t="s">
        <v>188</v>
      </c>
      <c r="B83" s="94">
        <f>'P&amp;L'!B22*$D$11</f>
        <v>283333.33333333331</v>
      </c>
      <c r="C83" s="94">
        <f>'P&amp;L'!C22*$D$11</f>
        <v>283333.33333333331</v>
      </c>
      <c r="D83" s="94">
        <f>'P&amp;L'!D22*$D$11</f>
        <v>283333.33333333331</v>
      </c>
      <c r="E83" s="94">
        <f>'P&amp;L'!E22*$D$11</f>
        <v>283333.33333333331</v>
      </c>
      <c r="F83" s="94">
        <f>'P&amp;L'!F22*$D$11</f>
        <v>283333.33333333331</v>
      </c>
      <c r="G83" s="94">
        <f>'P&amp;L'!G22*$D$11</f>
        <v>283333.33333333331</v>
      </c>
      <c r="H83" s="94">
        <f>'P&amp;L'!H22*$D$11</f>
        <v>283333.33333333331</v>
      </c>
      <c r="I83" s="94">
        <f>'P&amp;L'!I22*$D$11</f>
        <v>283333.33333333331</v>
      </c>
      <c r="J83" s="94">
        <f>'P&amp;L'!J22*$D$11</f>
        <v>283333.33333333331</v>
      </c>
      <c r="K83" s="94">
        <f>'P&amp;L'!K22*$D$11</f>
        <v>283333.33333333331</v>
      </c>
      <c r="L83" s="94">
        <f>'P&amp;L'!L22*$D$11</f>
        <v>283333.33333333331</v>
      </c>
      <c r="M83" s="94">
        <f>'P&amp;L'!M22*$D$11</f>
        <v>283333.33333333331</v>
      </c>
      <c r="N83" s="94">
        <f>'P&amp;L'!N22*$D$11</f>
        <v>283333.33333333331</v>
      </c>
      <c r="O83" s="94">
        <f>'P&amp;L'!O22*$D$11</f>
        <v>283333.33333333331</v>
      </c>
      <c r="P83" s="94">
        <f>'P&amp;L'!P22*$D$11</f>
        <v>283333.33333333331</v>
      </c>
      <c r="Q83" s="94">
        <f>'P&amp;L'!Q22*$D$11</f>
        <v>283333.33333333331</v>
      </c>
      <c r="R83" s="94">
        <f>'P&amp;L'!R22*$D$11</f>
        <v>283333.33333333331</v>
      </c>
      <c r="S83" s="94">
        <f>'P&amp;L'!S22*$D$11</f>
        <v>283333.33333333331</v>
      </c>
      <c r="T83" s="94">
        <f>'P&amp;L'!T22*$D$11</f>
        <v>283333.33333333331</v>
      </c>
      <c r="U83" s="94">
        <f>'P&amp;L'!U22*$D$11</f>
        <v>283333.33333333331</v>
      </c>
      <c r="V83" s="94">
        <f>'P&amp;L'!V22*$D$11</f>
        <v>283333.33333333331</v>
      </c>
      <c r="W83" s="94">
        <f>'P&amp;L'!W22*$D$11</f>
        <v>283333.33333333331</v>
      </c>
      <c r="X83" s="94">
        <f>'P&amp;L'!X22*$D$11</f>
        <v>283333.33333333331</v>
      </c>
      <c r="Y83" s="94">
        <f>'P&amp;L'!Y22*$D$11</f>
        <v>283333.33333333331</v>
      </c>
      <c r="Z83" s="94">
        <f t="shared" si="11"/>
        <v>3400000.0000000005</v>
      </c>
      <c r="AA83" s="94">
        <f t="shared" si="12"/>
        <v>3400000.0000000005</v>
      </c>
      <c r="AB83" s="88"/>
      <c r="AC83" s="88"/>
    </row>
    <row r="84" spans="1:29" ht="18" customHeight="1" x14ac:dyDescent="0.2">
      <c r="A84" s="90" t="s">
        <v>175</v>
      </c>
      <c r="B84" s="94">
        <f t="shared" ref="B84:Y84" si="15">B82-B83</f>
        <v>-1965536.2238849949</v>
      </c>
      <c r="C84" s="94">
        <f t="shared" si="15"/>
        <v>-1594522.3768307024</v>
      </c>
      <c r="D84" s="94">
        <f t="shared" si="15"/>
        <v>-1205576.432634328</v>
      </c>
      <c r="E84" s="94">
        <f t="shared" si="15"/>
        <v>-503944.4735459623</v>
      </c>
      <c r="F84" s="94">
        <f t="shared" si="15"/>
        <v>509262.32284610037</v>
      </c>
      <c r="G84" s="94">
        <f t="shared" si="15"/>
        <v>1833959.0143272595</v>
      </c>
      <c r="H84" s="94">
        <f t="shared" si="15"/>
        <v>2931091.3553554961</v>
      </c>
      <c r="I84" s="94">
        <f t="shared" si="15"/>
        <v>4882643.4516965384</v>
      </c>
      <c r="J84" s="94">
        <f t="shared" si="15"/>
        <v>7151648.648030648</v>
      </c>
      <c r="K84" s="94">
        <f t="shared" si="15"/>
        <v>9742203.6984031852</v>
      </c>
      <c r="L84" s="94">
        <f t="shared" si="15"/>
        <v>12659486.279816</v>
      </c>
      <c r="M84" s="94">
        <f t="shared" si="15"/>
        <v>15909775.919904035</v>
      </c>
      <c r="N84" s="94">
        <f t="shared" si="15"/>
        <v>16306059.392519573</v>
      </c>
      <c r="O84" s="94">
        <f t="shared" si="15"/>
        <v>20213760.479279388</v>
      </c>
      <c r="P84" s="94">
        <f t="shared" si="15"/>
        <v>24454157.887257915</v>
      </c>
      <c r="Q84" s="94">
        <f t="shared" si="15"/>
        <v>29016831.668139435</v>
      </c>
      <c r="R84" s="94">
        <f t="shared" si="15"/>
        <v>33892166.001290843</v>
      </c>
      <c r="S84" s="94">
        <f t="shared" si="15"/>
        <v>39071313.378315598</v>
      </c>
      <c r="T84" s="94">
        <f t="shared" si="15"/>
        <v>44546160.768835396</v>
      </c>
      <c r="U84" s="94">
        <f t="shared" si="15"/>
        <v>50309297.669185802</v>
      </c>
      <c r="V84" s="94">
        <f t="shared" si="15"/>
        <v>56353985.940922126</v>
      </c>
      <c r="W84" s="94">
        <f t="shared" si="15"/>
        <v>62674131.350967914</v>
      </c>
      <c r="X84" s="94">
        <f t="shared" si="15"/>
        <v>69264256.729915246</v>
      </c>
      <c r="Y84" s="94">
        <f t="shared" si="15"/>
        <v>76119476.669417351</v>
      </c>
      <c r="Z84" s="94">
        <f t="shared" si="11"/>
        <v>50350491.183483273</v>
      </c>
      <c r="AA84" s="94">
        <f t="shared" si="12"/>
        <v>522221597.9360466</v>
      </c>
      <c r="AB84" s="88"/>
      <c r="AC84" s="88"/>
    </row>
    <row r="85" spans="1:29" ht="18" customHeight="1" x14ac:dyDescent="0.2">
      <c r="A85" s="90" t="s">
        <v>251</v>
      </c>
      <c r="B85" s="94">
        <f>MAX(B84,0)*Assumptions!$B$69</f>
        <v>0</v>
      </c>
      <c r="C85" s="94">
        <f>MAX(C84,0)*Assumptions!$B$69</f>
        <v>0</v>
      </c>
      <c r="D85" s="94">
        <f>MAX(D84,0)*Assumptions!$B$69</f>
        <v>0</v>
      </c>
      <c r="E85" s="94">
        <f>MAX(E84,0)*Assumptions!$B$69</f>
        <v>0</v>
      </c>
      <c r="F85" s="94">
        <f>MAX(F84,0)*Assumptions!$B$69</f>
        <v>101852.46456922009</v>
      </c>
      <c r="G85" s="94">
        <f>MAX(G84,0)*Assumptions!$B$69</f>
        <v>366791.8028654519</v>
      </c>
      <c r="H85" s="94">
        <f>MAX(H84,0)*Assumptions!$B$69</f>
        <v>586218.27107109921</v>
      </c>
      <c r="I85" s="94">
        <f>MAX(I84,0)*Assumptions!$B$69</f>
        <v>976528.69033930777</v>
      </c>
      <c r="J85" s="94">
        <f>MAX(J84,0)*Assumptions!$B$69</f>
        <v>1430329.7296061297</v>
      </c>
      <c r="K85" s="94">
        <f>MAX(K84,0)*Assumptions!$B$69</f>
        <v>1948440.7396806371</v>
      </c>
      <c r="L85" s="94">
        <f>MAX(L84,0)*Assumptions!$B$69</f>
        <v>2531897.2559632002</v>
      </c>
      <c r="M85" s="94">
        <f>MAX(M84,0)*Assumptions!$B$69</f>
        <v>3181955.1839808072</v>
      </c>
      <c r="N85" s="94">
        <f>MAX(N84,0)*Assumptions!$B$69</f>
        <v>3261211.8785039149</v>
      </c>
      <c r="O85" s="94">
        <f>MAX(O84,0)*Assumptions!$B$69</f>
        <v>4042752.0958558777</v>
      </c>
      <c r="P85" s="94">
        <f>MAX(P84,0)*Assumptions!$B$69</f>
        <v>4890831.577451583</v>
      </c>
      <c r="Q85" s="94">
        <f>MAX(Q84,0)*Assumptions!$B$69</f>
        <v>5803366.3336278871</v>
      </c>
      <c r="R85" s="94">
        <f>MAX(R84,0)*Assumptions!$B$69</f>
        <v>6778433.2002581693</v>
      </c>
      <c r="S85" s="94">
        <f>MAX(S84,0)*Assumptions!$B$69</f>
        <v>7814262.6756631201</v>
      </c>
      <c r="T85" s="94">
        <f>MAX(T84,0)*Assumptions!$B$69</f>
        <v>8909232.1537670791</v>
      </c>
      <c r="U85" s="94">
        <f>MAX(U84,0)*Assumptions!$B$69</f>
        <v>10061859.53383716</v>
      </c>
      <c r="V85" s="94">
        <f>MAX(V84,0)*Assumptions!$B$69</f>
        <v>11270797.188184425</v>
      </c>
      <c r="W85" s="94">
        <f>MAX(W84,0)*Assumptions!$B$69</f>
        <v>12534826.270193584</v>
      </c>
      <c r="X85" s="94">
        <f>MAX(X84,0)*Assumptions!$B$69</f>
        <v>13852851.345983051</v>
      </c>
      <c r="Y85" s="94">
        <f>MAX(Y84,0)*Assumptions!$B$69</f>
        <v>15223895.333883472</v>
      </c>
      <c r="Z85" s="94">
        <f t="shared" si="11"/>
        <v>11124014.138075855</v>
      </c>
      <c r="AA85" s="94">
        <f t="shared" si="12"/>
        <v>104444319.58720931</v>
      </c>
      <c r="AB85" s="88"/>
      <c r="AC85" s="88"/>
    </row>
    <row r="86" spans="1:29" ht="18" customHeight="1" x14ac:dyDescent="0.2">
      <c r="A86" s="90" t="s">
        <v>187</v>
      </c>
      <c r="B86" s="94">
        <f t="shared" ref="B86:Y86" si="16">B84-B85</f>
        <v>-1965536.2238849949</v>
      </c>
      <c r="C86" s="94">
        <f t="shared" si="16"/>
        <v>-1594522.3768307024</v>
      </c>
      <c r="D86" s="94">
        <f t="shared" si="16"/>
        <v>-1205576.432634328</v>
      </c>
      <c r="E86" s="94">
        <f t="shared" si="16"/>
        <v>-503944.4735459623</v>
      </c>
      <c r="F86" s="94">
        <f t="shared" si="16"/>
        <v>407409.85827688029</v>
      </c>
      <c r="G86" s="94">
        <f t="shared" si="16"/>
        <v>1467167.2114618076</v>
      </c>
      <c r="H86" s="94">
        <f t="shared" si="16"/>
        <v>2344873.0842843968</v>
      </c>
      <c r="I86" s="94">
        <f t="shared" si="16"/>
        <v>3906114.7613572306</v>
      </c>
      <c r="J86" s="94">
        <f t="shared" si="16"/>
        <v>5721318.9184245188</v>
      </c>
      <c r="K86" s="94">
        <f t="shared" si="16"/>
        <v>7793762.9587225486</v>
      </c>
      <c r="L86" s="94">
        <f t="shared" si="16"/>
        <v>10127589.023852799</v>
      </c>
      <c r="M86" s="94">
        <f t="shared" si="16"/>
        <v>12727820.735923227</v>
      </c>
      <c r="N86" s="94">
        <f t="shared" si="16"/>
        <v>13044847.514015658</v>
      </c>
      <c r="O86" s="94">
        <f t="shared" si="16"/>
        <v>16171008.383423511</v>
      </c>
      <c r="P86" s="94">
        <f t="shared" si="16"/>
        <v>19563326.309806332</v>
      </c>
      <c r="Q86" s="94">
        <f t="shared" si="16"/>
        <v>23213465.334511548</v>
      </c>
      <c r="R86" s="94">
        <f t="shared" si="16"/>
        <v>27113732.801032674</v>
      </c>
      <c r="S86" s="94">
        <f t="shared" si="16"/>
        <v>31257050.702652477</v>
      </c>
      <c r="T86" s="94">
        <f t="shared" si="16"/>
        <v>35636928.615068316</v>
      </c>
      <c r="U86" s="94">
        <f t="shared" si="16"/>
        <v>40247438.13534864</v>
      </c>
      <c r="V86" s="94">
        <f t="shared" si="16"/>
        <v>45083188.752737701</v>
      </c>
      <c r="W86" s="94">
        <f t="shared" si="16"/>
        <v>50139305.08077433</v>
      </c>
      <c r="X86" s="94">
        <f t="shared" si="16"/>
        <v>55411405.383932196</v>
      </c>
      <c r="Y86" s="94">
        <f t="shared" si="16"/>
        <v>60895581.33553388</v>
      </c>
      <c r="Z86" s="94">
        <f t="shared" si="11"/>
        <v>39226477.045407422</v>
      </c>
      <c r="AA86" s="94">
        <f t="shared" si="12"/>
        <v>417777278.3488372</v>
      </c>
      <c r="AB86" s="88"/>
      <c r="AC86" s="88"/>
    </row>
    <row r="87" spans="1:29" ht="18" customHeight="1" x14ac:dyDescent="0.2">
      <c r="A87" s="90" t="s">
        <v>252</v>
      </c>
      <c r="B87" s="94">
        <f t="shared" ref="B87:Y87" si="17">B86+B83</f>
        <v>-1682202.8905516616</v>
      </c>
      <c r="C87" s="94">
        <f t="shared" si="17"/>
        <v>-1311189.0434973692</v>
      </c>
      <c r="D87" s="94">
        <f t="shared" si="17"/>
        <v>-922243.09930099477</v>
      </c>
      <c r="E87" s="94">
        <f t="shared" si="17"/>
        <v>-220611.14021262899</v>
      </c>
      <c r="F87" s="94">
        <f t="shared" si="17"/>
        <v>690743.1916102136</v>
      </c>
      <c r="G87" s="94">
        <f t="shared" si="17"/>
        <v>1750500.5447951409</v>
      </c>
      <c r="H87" s="94">
        <f t="shared" si="17"/>
        <v>2628206.4176177303</v>
      </c>
      <c r="I87" s="94">
        <f t="shared" si="17"/>
        <v>4189448.0946905641</v>
      </c>
      <c r="J87" s="94">
        <f t="shared" si="17"/>
        <v>6004652.2517578518</v>
      </c>
      <c r="K87" s="94">
        <f t="shared" si="17"/>
        <v>8077096.2920558816</v>
      </c>
      <c r="L87" s="94">
        <f t="shared" si="17"/>
        <v>10410922.357186133</v>
      </c>
      <c r="M87" s="94">
        <f t="shared" si="17"/>
        <v>13011154.069256561</v>
      </c>
      <c r="N87" s="94">
        <f t="shared" si="17"/>
        <v>13328180.847348992</v>
      </c>
      <c r="O87" s="94">
        <f t="shared" si="17"/>
        <v>16454341.716756845</v>
      </c>
      <c r="P87" s="94">
        <f t="shared" si="17"/>
        <v>19846659.643139664</v>
      </c>
      <c r="Q87" s="94">
        <f t="shared" si="17"/>
        <v>23496798.66784488</v>
      </c>
      <c r="R87" s="94">
        <f t="shared" si="17"/>
        <v>27397066.134366006</v>
      </c>
      <c r="S87" s="94">
        <f t="shared" si="17"/>
        <v>31540384.035985809</v>
      </c>
      <c r="T87" s="94">
        <f t="shared" si="17"/>
        <v>35920261.948401652</v>
      </c>
      <c r="U87" s="94">
        <f t="shared" si="17"/>
        <v>40530771.468681976</v>
      </c>
      <c r="V87" s="94">
        <f t="shared" si="17"/>
        <v>45366522.086071037</v>
      </c>
      <c r="W87" s="94">
        <f t="shared" si="17"/>
        <v>50422638.414107665</v>
      </c>
      <c r="X87" s="94">
        <f t="shared" si="17"/>
        <v>55694738.717265531</v>
      </c>
      <c r="Y87" s="94">
        <f t="shared" si="17"/>
        <v>61178914.668867216</v>
      </c>
      <c r="Z87" s="94">
        <f t="shared" si="11"/>
        <v>42626477.045407422</v>
      </c>
      <c r="AA87" s="94">
        <f t="shared" si="12"/>
        <v>421177278.34883732</v>
      </c>
      <c r="AB87" s="88"/>
      <c r="AC87" s="88"/>
    </row>
    <row r="88" spans="1:29" ht="18" customHeight="1" x14ac:dyDescent="0.2">
      <c r="A88" s="90" t="s">
        <v>253</v>
      </c>
      <c r="B88" s="94">
        <f>-(Costs!B14+Costs!B26)*$D$11</f>
        <v>-6800000</v>
      </c>
      <c r="C88" s="94">
        <f>-(Costs!C14+Costs!C26)*$D$11</f>
        <v>0</v>
      </c>
      <c r="D88" s="94">
        <f>-(Costs!D14+Costs!D26)*$D$11</f>
        <v>0</v>
      </c>
      <c r="E88" s="94">
        <f>-(Costs!E14+Costs!E26)*$D$11</f>
        <v>0</v>
      </c>
      <c r="F88" s="94">
        <f>-(Costs!F14+Costs!F26)*$D$11</f>
        <v>0</v>
      </c>
      <c r="G88" s="94">
        <f>-(Costs!G14+Costs!G26)*$D$11</f>
        <v>0</v>
      </c>
      <c r="H88" s="94">
        <f>-(Costs!H14+Costs!H26)*$D$11</f>
        <v>0</v>
      </c>
      <c r="I88" s="94">
        <f>-(Costs!I14+Costs!I26)*$D$11</f>
        <v>0</v>
      </c>
      <c r="J88" s="94">
        <f>-(Costs!J14+Costs!J26)*$D$11</f>
        <v>0</v>
      </c>
      <c r="K88" s="94">
        <f>-(Costs!K14+Costs!K26)*$D$11</f>
        <v>0</v>
      </c>
      <c r="L88" s="94">
        <f>-(Costs!L14+Costs!L26)*$D$11</f>
        <v>0</v>
      </c>
      <c r="M88" s="94">
        <f>-(Costs!M14+Costs!M26)*$D$11</f>
        <v>0</v>
      </c>
      <c r="N88" s="94">
        <f>-(Costs!N14+Costs!N26)*$D$11</f>
        <v>0</v>
      </c>
      <c r="O88" s="94">
        <f>-(Costs!O14+Costs!O26)*$D$11</f>
        <v>0</v>
      </c>
      <c r="P88" s="94">
        <f>-(Costs!P14+Costs!P26)*$D$11</f>
        <v>0</v>
      </c>
      <c r="Q88" s="94">
        <f>-(Costs!Q14+Costs!Q26)*$D$11</f>
        <v>0</v>
      </c>
      <c r="R88" s="94">
        <f>-(Costs!R14+Costs!R26)*$D$11</f>
        <v>0</v>
      </c>
      <c r="S88" s="94">
        <f>-(Costs!S14+Costs!S26)*$D$11</f>
        <v>0</v>
      </c>
      <c r="T88" s="94">
        <f>-(Costs!T14+Costs!T26)*$D$11</f>
        <v>0</v>
      </c>
      <c r="U88" s="94">
        <f>-(Costs!U14+Costs!U26)*$D$11</f>
        <v>0</v>
      </c>
      <c r="V88" s="94">
        <f>-(Costs!V14+Costs!V26)*$D$11</f>
        <v>0</v>
      </c>
      <c r="W88" s="94">
        <f>-(Costs!W14+Costs!W26)*$D$11</f>
        <v>0</v>
      </c>
      <c r="X88" s="94">
        <f>-(Costs!X14+Costs!X26)*$D$11</f>
        <v>0</v>
      </c>
      <c r="Y88" s="94">
        <f>-(Costs!Y14+Costs!Y26)*$D$11</f>
        <v>0</v>
      </c>
      <c r="Z88" s="94">
        <f t="shared" si="11"/>
        <v>-6800000</v>
      </c>
      <c r="AA88" s="94">
        <f t="shared" si="12"/>
        <v>0</v>
      </c>
      <c r="AB88" s="88"/>
      <c r="AC88" s="88"/>
    </row>
    <row r="89" spans="1:29" ht="18" customHeight="1" x14ac:dyDescent="0.2">
      <c r="A89" s="90" t="s">
        <v>192</v>
      </c>
      <c r="B89" s="94">
        <f>0</f>
        <v>0</v>
      </c>
      <c r="C89" s="94">
        <f>0</f>
        <v>0</v>
      </c>
      <c r="D89" s="94">
        <f>0</f>
        <v>0</v>
      </c>
      <c r="E89" s="94">
        <f>0</f>
        <v>0</v>
      </c>
      <c r="F89" s="94">
        <f>0</f>
        <v>0</v>
      </c>
      <c r="G89" s="94">
        <f>0</f>
        <v>0</v>
      </c>
      <c r="H89" s="94">
        <f>0</f>
        <v>0</v>
      </c>
      <c r="I89" s="94">
        <f>0</f>
        <v>0</v>
      </c>
      <c r="J89" s="94">
        <f>0</f>
        <v>0</v>
      </c>
      <c r="K89" s="94">
        <f>0</f>
        <v>0</v>
      </c>
      <c r="L89" s="94">
        <f>0</f>
        <v>0</v>
      </c>
      <c r="M89" s="94">
        <f>0</f>
        <v>0</v>
      </c>
      <c r="N89" s="94">
        <f>0</f>
        <v>0</v>
      </c>
      <c r="O89" s="94">
        <f>0</f>
        <v>0</v>
      </c>
      <c r="P89" s="94">
        <f>0</f>
        <v>0</v>
      </c>
      <c r="Q89" s="94">
        <f>0</f>
        <v>0</v>
      </c>
      <c r="R89" s="94">
        <f>0</f>
        <v>0</v>
      </c>
      <c r="S89" s="94">
        <f>0</f>
        <v>0</v>
      </c>
      <c r="T89" s="94">
        <f>0</f>
        <v>0</v>
      </c>
      <c r="U89" s="94">
        <f>0</f>
        <v>0</v>
      </c>
      <c r="V89" s="94">
        <f>0</f>
        <v>0</v>
      </c>
      <c r="W89" s="94">
        <f>0</f>
        <v>0</v>
      </c>
      <c r="X89" s="94">
        <f>0</f>
        <v>0</v>
      </c>
      <c r="Y89" s="94">
        <f>0</f>
        <v>0</v>
      </c>
      <c r="Z89" s="94">
        <f t="shared" si="11"/>
        <v>0</v>
      </c>
      <c r="AA89" s="94">
        <f t="shared" si="12"/>
        <v>0</v>
      </c>
      <c r="AB89" s="88"/>
      <c r="AC89" s="88"/>
    </row>
    <row r="90" spans="1:29" ht="18" customHeight="1" x14ac:dyDescent="0.2">
      <c r="A90" s="95" t="s">
        <v>196</v>
      </c>
      <c r="B90" s="96">
        <f t="shared" ref="B90:Y90" si="18">SUM(B87,B88,B89)</f>
        <v>-8482202.8905516621</v>
      </c>
      <c r="C90" s="96">
        <f t="shared" si="18"/>
        <v>-1311189.0434973692</v>
      </c>
      <c r="D90" s="96">
        <f t="shared" si="18"/>
        <v>-922243.09930099477</v>
      </c>
      <c r="E90" s="96">
        <f t="shared" si="18"/>
        <v>-220611.14021262899</v>
      </c>
      <c r="F90" s="96">
        <f t="shared" si="18"/>
        <v>690743.1916102136</v>
      </c>
      <c r="G90" s="96">
        <f t="shared" si="18"/>
        <v>1750500.5447951409</v>
      </c>
      <c r="H90" s="96">
        <f t="shared" si="18"/>
        <v>2628206.4176177303</v>
      </c>
      <c r="I90" s="96">
        <f t="shared" si="18"/>
        <v>4189448.0946905641</v>
      </c>
      <c r="J90" s="96">
        <f t="shared" si="18"/>
        <v>6004652.2517578518</v>
      </c>
      <c r="K90" s="96">
        <f t="shared" si="18"/>
        <v>8077096.2920558816</v>
      </c>
      <c r="L90" s="96">
        <f t="shared" si="18"/>
        <v>10410922.357186133</v>
      </c>
      <c r="M90" s="96">
        <f t="shared" si="18"/>
        <v>13011154.069256561</v>
      </c>
      <c r="N90" s="96">
        <f t="shared" si="18"/>
        <v>13328180.847348992</v>
      </c>
      <c r="O90" s="96">
        <f t="shared" si="18"/>
        <v>16454341.716756845</v>
      </c>
      <c r="P90" s="96">
        <f t="shared" si="18"/>
        <v>19846659.643139664</v>
      </c>
      <c r="Q90" s="96">
        <f t="shared" si="18"/>
        <v>23496798.66784488</v>
      </c>
      <c r="R90" s="96">
        <f t="shared" si="18"/>
        <v>27397066.134366006</v>
      </c>
      <c r="S90" s="96">
        <f t="shared" si="18"/>
        <v>31540384.035985809</v>
      </c>
      <c r="T90" s="96">
        <f t="shared" si="18"/>
        <v>35920261.948401652</v>
      </c>
      <c r="U90" s="96">
        <f t="shared" si="18"/>
        <v>40530771.468681976</v>
      </c>
      <c r="V90" s="96">
        <f t="shared" si="18"/>
        <v>45366522.086071037</v>
      </c>
      <c r="W90" s="96">
        <f t="shared" si="18"/>
        <v>50422638.414107665</v>
      </c>
      <c r="X90" s="96">
        <f t="shared" si="18"/>
        <v>55694738.717265531</v>
      </c>
      <c r="Y90" s="96">
        <f t="shared" si="18"/>
        <v>61178914.668867216</v>
      </c>
      <c r="Z90" s="96">
        <f t="shared" si="11"/>
        <v>35826477.045407422</v>
      </c>
      <c r="AA90" s="96">
        <f t="shared" si="12"/>
        <v>421177278.34883732</v>
      </c>
      <c r="AB90" s="88"/>
      <c r="AC90" s="88"/>
    </row>
    <row r="91" spans="1:29" ht="18" customHeight="1" x14ac:dyDescent="0.2">
      <c r="A91" s="90" t="s">
        <v>210</v>
      </c>
      <c r="B91" s="99">
        <f>'Cash Flow'!B21</f>
        <v>0.98492137526088874</v>
      </c>
      <c r="C91" s="99">
        <f>'Cash Flow'!C21</f>
        <v>0.97007011544580046</v>
      </c>
      <c r="D91" s="99">
        <f>'Cash Flow'!D21</f>
        <v>0.95544279220436679</v>
      </c>
      <c r="E91" s="99">
        <f>'Cash Flow'!E21</f>
        <v>0.94103602888102844</v>
      </c>
      <c r="F91" s="99">
        <f>'Cash Flow'!F21</f>
        <v>0.926846499735548</v>
      </c>
      <c r="G91" s="99">
        <f>'Cash Flow'!G21</f>
        <v>0.9128709291752769</v>
      </c>
      <c r="H91" s="99">
        <f>'Cash Flow'!H21</f>
        <v>0.89910609099899896</v>
      </c>
      <c r="I91" s="99">
        <f>'Cash Flow'!I21</f>
        <v>0.88554880765217592</v>
      </c>
      <c r="J91" s="99">
        <f>'Cash Flow'!J21</f>
        <v>0.87219594949342127</v>
      </c>
      <c r="K91" s="99">
        <f>'Cash Flow'!K21</f>
        <v>0.85904443407203712</v>
      </c>
      <c r="L91" s="99">
        <f>'Cash Flow'!L21</f>
        <v>0.84609122541644266</v>
      </c>
      <c r="M91" s="99">
        <f>'Cash Flow'!M21</f>
        <v>0.83333333333333337</v>
      </c>
      <c r="N91" s="99">
        <f>'Cash Flow'!N21</f>
        <v>0.82076781271740729</v>
      </c>
      <c r="O91" s="99">
        <f>'Cash Flow'!O21</f>
        <v>0.80839176287150039</v>
      </c>
      <c r="P91" s="99">
        <f>'Cash Flow'!P21</f>
        <v>0.79620232683697245</v>
      </c>
      <c r="Q91" s="99">
        <f>'Cash Flow'!Q21</f>
        <v>0.7841966907341904</v>
      </c>
      <c r="R91" s="99">
        <f>'Cash Flow'!R21</f>
        <v>0.77237208311295658</v>
      </c>
      <c r="S91" s="99">
        <f>'Cash Flow'!S21</f>
        <v>0.7607257743127307</v>
      </c>
      <c r="T91" s="99">
        <f>'Cash Flow'!T21</f>
        <v>0.74925507583249917</v>
      </c>
      <c r="U91" s="99">
        <f>'Cash Flow'!U21</f>
        <v>0.73795733971014654</v>
      </c>
      <c r="V91" s="99">
        <f>'Cash Flow'!V21</f>
        <v>0.72682995791118443</v>
      </c>
      <c r="W91" s="99">
        <f>'Cash Flow'!W21</f>
        <v>0.71587036172669771</v>
      </c>
      <c r="X91" s="99">
        <f>'Cash Flow'!X21</f>
        <v>0.70507602118036894</v>
      </c>
      <c r="Y91" s="99">
        <f>'Cash Flow'!Y21</f>
        <v>0.69444444444444442</v>
      </c>
      <c r="Z91" s="99">
        <f>AVERAGE(B91:M91)</f>
        <v>0.90720896513911009</v>
      </c>
      <c r="AA91" s="99">
        <f>AVERAGE(N91:Y91)</f>
        <v>0.75600747094925824</v>
      </c>
      <c r="AB91" s="88"/>
      <c r="AC91" s="88"/>
    </row>
    <row r="92" spans="1:29" ht="18" customHeight="1" x14ac:dyDescent="0.2">
      <c r="A92" s="95" t="s">
        <v>254</v>
      </c>
      <c r="B92" s="96">
        <f t="shared" ref="B92:Y92" si="19">B90*B91</f>
        <v>-8354302.9362040283</v>
      </c>
      <c r="C92" s="96">
        <f t="shared" si="19"/>
        <v>-1271945.3067967617</v>
      </c>
      <c r="D92" s="96">
        <f t="shared" si="19"/>
        <v>-881150.52188735153</v>
      </c>
      <c r="E92" s="96">
        <f t="shared" si="19"/>
        <v>-207603.03131260816</v>
      </c>
      <c r="F92" s="96">
        <f t="shared" si="19"/>
        <v>640212.90936008748</v>
      </c>
      <c r="G92" s="96">
        <f t="shared" si="19"/>
        <v>1597981.0588489687</v>
      </c>
      <c r="H92" s="96">
        <f t="shared" si="19"/>
        <v>2363036.3984827599</v>
      </c>
      <c r="I92" s="96">
        <f t="shared" si="19"/>
        <v>3709960.7649739091</v>
      </c>
      <c r="J92" s="96">
        <f t="shared" si="19"/>
        <v>5237233.3720997497</v>
      </c>
      <c r="K92" s="96">
        <f t="shared" si="19"/>
        <v>6938584.6131544942</v>
      </c>
      <c r="L92" s="96">
        <f t="shared" si="19"/>
        <v>8808590.0549070556</v>
      </c>
      <c r="M92" s="96">
        <f t="shared" si="19"/>
        <v>10842628.391047135</v>
      </c>
      <c r="N92" s="96">
        <f t="shared" si="19"/>
        <v>10939341.841580672</v>
      </c>
      <c r="O92" s="96">
        <f t="shared" si="19"/>
        <v>13301554.307299135</v>
      </c>
      <c r="P92" s="96">
        <f t="shared" si="19"/>
        <v>15801956.587809239</v>
      </c>
      <c r="Q92" s="96">
        <f t="shared" si="19"/>
        <v>18426111.758171488</v>
      </c>
      <c r="R92" s="96">
        <f t="shared" si="19"/>
        <v>21160729.04138371</v>
      </c>
      <c r="S92" s="96">
        <f t="shared" si="19"/>
        <v>23993583.067896195</v>
      </c>
      <c r="T92" s="96">
        <f t="shared" si="19"/>
        <v>26913438.590072915</v>
      </c>
      <c r="U92" s="96">
        <f t="shared" si="19"/>
        <v>29909980.289428461</v>
      </c>
      <c r="V92" s="96">
        <f t="shared" si="19"/>
        <v>32973747.33839583</v>
      </c>
      <c r="W92" s="96">
        <f t="shared" si="19"/>
        <v>36096072.400721736</v>
      </c>
      <c r="X92" s="96">
        <f t="shared" si="19"/>
        <v>39269024.775449827</v>
      </c>
      <c r="Y92" s="96">
        <f t="shared" si="19"/>
        <v>42485357.408935562</v>
      </c>
      <c r="Z92" s="96">
        <f>SUM(B92:M92)</f>
        <v>29423225.766673416</v>
      </c>
      <c r="AA92" s="96">
        <f>SUM(N92:Y92)</f>
        <v>311270897.40714473</v>
      </c>
      <c r="AB92" s="88"/>
      <c r="AC92" s="88"/>
    </row>
    <row r="93" spans="1:29" ht="13.5" customHeight="1" x14ac:dyDescent="0.15"/>
    <row r="94" spans="1:29" ht="13.5" customHeight="1" x14ac:dyDescent="0.15"/>
    <row r="95" spans="1:29" ht="13.5" customHeight="1" x14ac:dyDescent="0.15"/>
    <row r="96" spans="1:29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</sheetData>
  <mergeCells count="7">
    <mergeCell ref="A54:AC54"/>
    <mergeCell ref="A74:AC74"/>
    <mergeCell ref="A1:AC1"/>
    <mergeCell ref="A4:AC4"/>
    <mergeCell ref="A14:AC14"/>
    <mergeCell ref="A31:AC31"/>
    <mergeCell ref="A34:AC34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2"/>
  <sheetViews>
    <sheetView tabSelected="1" zoomScale="62" workbookViewId="0">
      <selection activeCell="Z19" sqref="Z19"/>
    </sheetView>
  </sheetViews>
  <sheetFormatPr baseColWidth="10" defaultColWidth="8.83203125" defaultRowHeight="13" x14ac:dyDescent="0.15"/>
  <cols>
    <col min="1" max="1" width="24" customWidth="1"/>
    <col min="2" max="2" width="16.5" customWidth="1"/>
    <col min="3" max="3" width="28.1640625" customWidth="1"/>
    <col min="4" max="4" width="11.6640625" customWidth="1"/>
    <col min="5" max="5" width="33.83203125" customWidth="1"/>
    <col min="6" max="6" width="17.1640625" customWidth="1"/>
    <col min="7" max="7" width="21.6640625" customWidth="1"/>
    <col min="8" max="8" width="20.33203125" customWidth="1"/>
    <col min="9" max="9" width="20" customWidth="1"/>
    <col min="25" max="25" width="9.5" customWidth="1"/>
    <col min="26" max="26" width="10.33203125" customWidth="1"/>
  </cols>
  <sheetData>
    <row r="1" spans="1:14" ht="40" customHeight="1" x14ac:dyDescent="0.15">
      <c r="A1" s="101" t="s">
        <v>257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2"/>
      <c r="N1" s="102"/>
    </row>
    <row r="2" spans="1:14" ht="20" customHeight="1" x14ac:dyDescent="0.2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4"/>
      <c r="N2" s="34"/>
    </row>
    <row r="3" spans="1:14" ht="18" customHeight="1" x14ac:dyDescent="0.2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</row>
    <row r="4" spans="1:14" ht="20" customHeight="1" x14ac:dyDescent="0.2">
      <c r="A4" s="133" t="s">
        <v>258</v>
      </c>
      <c r="B4" s="133"/>
      <c r="C4" s="133"/>
      <c r="D4" s="133" t="s">
        <v>259</v>
      </c>
      <c r="E4" s="133"/>
      <c r="F4" s="133"/>
      <c r="G4" s="133" t="s">
        <v>260</v>
      </c>
      <c r="H4" s="133"/>
      <c r="I4" s="133"/>
      <c r="J4" s="133" t="s">
        <v>261</v>
      </c>
      <c r="K4" s="133"/>
      <c r="L4" s="133"/>
      <c r="M4" s="35"/>
      <c r="N4" s="35"/>
    </row>
    <row r="5" spans="1:14" ht="18" customHeight="1" x14ac:dyDescent="0.2">
      <c r="A5" s="135">
        <f>'Operating Model'!$Y$18</f>
        <v>233478.03495273224</v>
      </c>
      <c r="B5" s="135"/>
      <c r="C5" s="135"/>
      <c r="D5" s="135">
        <f>'Operating Model'!$Y$31</f>
        <v>20883.517906885518</v>
      </c>
      <c r="E5" s="135"/>
      <c r="F5" s="135"/>
      <c r="G5" s="135">
        <f>'Operating Model'!$Y$36</f>
        <v>18992.720921549779</v>
      </c>
      <c r="H5" s="135"/>
      <c r="I5" s="135"/>
      <c r="J5" s="135">
        <f>'Operating Model'!$Y$44</f>
        <v>15438.407945972587</v>
      </c>
      <c r="K5" s="135"/>
      <c r="L5" s="135"/>
      <c r="M5" s="35"/>
      <c r="N5" s="35"/>
    </row>
    <row r="6" spans="1:14" ht="18" customHeight="1" x14ac:dyDescent="0.2">
      <c r="A6" s="135"/>
      <c r="B6" s="135"/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35"/>
      <c r="N6" s="35"/>
    </row>
    <row r="7" spans="1:14" ht="18" customHeight="1" x14ac:dyDescent="0.2">
      <c r="A7" s="135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35"/>
      <c r="N7" s="35"/>
    </row>
    <row r="8" spans="1:14" ht="18" customHeight="1" x14ac:dyDescent="0.2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</row>
    <row r="9" spans="1:14" ht="20" customHeight="1" x14ac:dyDescent="0.2">
      <c r="A9" s="133" t="s">
        <v>262</v>
      </c>
      <c r="B9" s="133"/>
      <c r="C9" s="133"/>
      <c r="D9" s="133" t="s">
        <v>263</v>
      </c>
      <c r="E9" s="133"/>
      <c r="F9" s="133"/>
      <c r="G9" s="133" t="s">
        <v>205</v>
      </c>
      <c r="H9" s="133"/>
      <c r="I9" s="133"/>
      <c r="J9" s="133" t="s">
        <v>219</v>
      </c>
      <c r="K9" s="133"/>
      <c r="L9" s="133"/>
      <c r="M9" s="35"/>
      <c r="N9" s="35"/>
    </row>
    <row r="10" spans="1:14" ht="18" customHeight="1" x14ac:dyDescent="0.2">
      <c r="A10" s="134">
        <f>'P&amp;L'!$Z$9</f>
        <v>66622722.7790002</v>
      </c>
      <c r="B10" s="134"/>
      <c r="C10" s="134"/>
      <c r="D10" s="134">
        <f>'P&amp;L'!$Z$20+0</f>
        <v>30110576.5626496</v>
      </c>
      <c r="E10" s="134"/>
      <c r="F10" s="134"/>
      <c r="G10" s="134">
        <f>'Cash Flow'!$Z$19</f>
        <v>15284523.786072211</v>
      </c>
      <c r="H10" s="134"/>
      <c r="I10" s="134"/>
      <c r="J10" s="134">
        <f>DCF!$B$22</f>
        <v>1689002291.0172539</v>
      </c>
      <c r="K10" s="134"/>
      <c r="L10" s="134"/>
      <c r="M10" s="35"/>
      <c r="N10" s="35"/>
    </row>
    <row r="11" spans="1:14" ht="18" customHeight="1" x14ac:dyDescent="0.2">
      <c r="A11" s="134"/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35"/>
      <c r="N11" s="35"/>
    </row>
    <row r="12" spans="1:14" ht="18" customHeight="1" x14ac:dyDescent="0.2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35"/>
      <c r="N12" s="35"/>
    </row>
    <row r="13" spans="1:14" ht="18" customHeight="1" x14ac:dyDescent="0.2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</row>
    <row r="14" spans="1:14" ht="20" customHeight="1" x14ac:dyDescent="0.2">
      <c r="A14" s="41" t="s">
        <v>264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2"/>
      <c r="N14" s="42"/>
    </row>
    <row r="15" spans="1:14" ht="21" customHeight="1" x14ac:dyDescent="0.2">
      <c r="A15" s="103" t="s">
        <v>28</v>
      </c>
      <c r="B15" s="103" t="s">
        <v>76</v>
      </c>
      <c r="C15" s="103" t="s">
        <v>77</v>
      </c>
      <c r="D15" s="103" t="s">
        <v>118</v>
      </c>
      <c r="E15" s="35"/>
      <c r="F15" s="103" t="s">
        <v>28</v>
      </c>
      <c r="G15" s="103" t="s">
        <v>249</v>
      </c>
      <c r="H15" s="103" t="s">
        <v>255</v>
      </c>
      <c r="I15" s="103" t="s">
        <v>256</v>
      </c>
      <c r="J15" s="35"/>
      <c r="K15" s="35"/>
      <c r="L15" s="35"/>
      <c r="M15" s="35"/>
      <c r="N15" s="35"/>
    </row>
    <row r="16" spans="1:14" ht="21" customHeight="1" x14ac:dyDescent="0.2">
      <c r="A16" s="35" t="s">
        <v>265</v>
      </c>
      <c r="B16" s="51">
        <f>'P&amp;L'!$Z$9</f>
        <v>66622722.7790002</v>
      </c>
      <c r="C16" s="51">
        <f>'P&amp;L'!$AA$9</f>
        <v>468574734.29809672</v>
      </c>
      <c r="D16" s="35" t="s">
        <v>164</v>
      </c>
      <c r="E16" s="35"/>
      <c r="F16" s="104" t="s">
        <v>219</v>
      </c>
      <c r="G16" s="69">
        <f>Scenarios!B26</f>
        <v>873115430.9953531</v>
      </c>
      <c r="H16" s="69">
        <f>Scenarios!C26</f>
        <v>1689002291.0172539</v>
      </c>
      <c r="I16" s="69">
        <f>Scenarios!D26</f>
        <v>2748064250.4882193</v>
      </c>
      <c r="J16" s="35"/>
      <c r="K16" s="35"/>
      <c r="L16" s="35"/>
      <c r="M16" s="35"/>
      <c r="N16" s="35"/>
    </row>
    <row r="17" spans="1:14" ht="20" customHeight="1" x14ac:dyDescent="0.2">
      <c r="A17" s="35" t="s">
        <v>266</v>
      </c>
      <c r="B17" s="51">
        <f>'P&amp;L'!$Z$19</f>
        <v>36512146.2163506</v>
      </c>
      <c r="C17" s="51">
        <f>'P&amp;L'!$AA$19</f>
        <v>95016288.1749724</v>
      </c>
      <c r="D17" s="35" t="s">
        <v>164</v>
      </c>
      <c r="E17" s="35"/>
      <c r="F17" s="35" t="s">
        <v>262</v>
      </c>
      <c r="G17" s="51">
        <f>Scenarios!B16</f>
        <v>46635905.945300132</v>
      </c>
      <c r="H17" s="51">
        <f>Scenarios!C16</f>
        <v>66622722.7790002</v>
      </c>
      <c r="I17" s="51">
        <f>Scenarios!D16</f>
        <v>86609539.612700254</v>
      </c>
      <c r="J17" s="35"/>
      <c r="K17" s="35"/>
      <c r="L17" s="35"/>
      <c r="M17" s="35"/>
      <c r="N17" s="35"/>
    </row>
    <row r="18" spans="1:14" ht="21" customHeight="1" x14ac:dyDescent="0.2">
      <c r="A18" s="104" t="s">
        <v>172</v>
      </c>
      <c r="B18" s="69">
        <f>'P&amp;L'!$Z$20+0</f>
        <v>30110576.5626496</v>
      </c>
      <c r="C18" s="69">
        <f>'P&amp;L'!$AA$20+0</f>
        <v>373558446.12312436</v>
      </c>
      <c r="D18" s="104" t="s">
        <v>164</v>
      </c>
      <c r="E18" s="35"/>
      <c r="F18" s="35" t="s">
        <v>263</v>
      </c>
      <c r="G18" s="51">
        <f>Scenarios!B20</f>
        <v>6470661.9418159276</v>
      </c>
      <c r="H18" s="51">
        <f>Scenarios!C20</f>
        <v>30110576.5626496</v>
      </c>
      <c r="I18" s="51">
        <f>Scenarios!D20</f>
        <v>53750491.183483273</v>
      </c>
      <c r="J18" s="35"/>
      <c r="K18" s="35"/>
      <c r="L18" s="35"/>
      <c r="M18" s="35"/>
      <c r="N18" s="35"/>
    </row>
    <row r="19" spans="1:14" ht="20" customHeight="1" x14ac:dyDescent="0.2">
      <c r="A19" s="35" t="s">
        <v>177</v>
      </c>
      <c r="B19" s="51">
        <f>'P&amp;L'!$Z$25</f>
        <v>19284523.786072209</v>
      </c>
      <c r="C19" s="51">
        <f>'P&amp;L'!$AA$25</f>
        <v>295646756.89849949</v>
      </c>
      <c r="D19" s="35" t="s">
        <v>164</v>
      </c>
      <c r="E19" s="35"/>
      <c r="F19" s="35" t="s">
        <v>205</v>
      </c>
      <c r="G19" s="51">
        <f>Scenarios!B22</f>
        <v>-5684895.6108942684</v>
      </c>
      <c r="H19" s="51">
        <f>Scenarios!C22</f>
        <v>15284523.786072211</v>
      </c>
      <c r="I19" s="51">
        <f>Scenarios!D22</f>
        <v>35826477.045407422</v>
      </c>
      <c r="J19" s="35"/>
      <c r="K19" s="35"/>
      <c r="L19" s="35"/>
      <c r="M19" s="35"/>
      <c r="N19" s="35"/>
    </row>
    <row r="20" spans="1:14" ht="20" customHeight="1" x14ac:dyDescent="0.2">
      <c r="A20" s="35" t="s">
        <v>196</v>
      </c>
      <c r="B20" s="51">
        <f>'Cash Flow'!$Z$19</f>
        <v>15284523.786072211</v>
      </c>
      <c r="C20" s="51">
        <f>'Cash Flow'!$AA$19</f>
        <v>299646756.89849949</v>
      </c>
      <c r="D20" s="35" t="s">
        <v>267</v>
      </c>
      <c r="E20" s="35"/>
      <c r="F20" s="35"/>
      <c r="G20" s="35"/>
      <c r="H20" s="35"/>
      <c r="I20" s="35"/>
      <c r="J20" s="35"/>
      <c r="K20" s="35"/>
      <c r="L20" s="35"/>
      <c r="M20" s="35"/>
      <c r="N20" s="35"/>
    </row>
    <row r="21" spans="1:14" ht="20" customHeight="1" x14ac:dyDescent="0.2">
      <c r="A21" s="35" t="s">
        <v>245</v>
      </c>
      <c r="B21" s="51">
        <f>DCF!$B$20</f>
        <v>232386111.64954817</v>
      </c>
      <c r="C21" s="51"/>
      <c r="D21" s="35" t="s">
        <v>208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</row>
    <row r="22" spans="1:14" ht="20" customHeight="1" x14ac:dyDescent="0.2">
      <c r="A22" s="35" t="s">
        <v>246</v>
      </c>
      <c r="B22" s="51">
        <f>DCF!$B$21</f>
        <v>1456616179.3677056</v>
      </c>
      <c r="C22" s="51"/>
      <c r="D22" s="35" t="s">
        <v>208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</row>
    <row r="23" spans="1:14" ht="21" customHeight="1" x14ac:dyDescent="0.2">
      <c r="A23" s="104" t="s">
        <v>219</v>
      </c>
      <c r="B23" s="69">
        <f>DCF!$B$22</f>
        <v>1689002291.0172539</v>
      </c>
      <c r="C23" s="69"/>
      <c r="D23" s="104" t="s">
        <v>208</v>
      </c>
      <c r="E23" s="35"/>
      <c r="F23" s="35"/>
      <c r="G23" s="35"/>
      <c r="H23" s="35"/>
      <c r="I23" s="35"/>
      <c r="J23" s="35"/>
      <c r="K23" s="35"/>
      <c r="L23" s="35"/>
      <c r="M23" s="35"/>
      <c r="N23" s="35"/>
    </row>
    <row r="24" spans="1:14" ht="20" customHeight="1" x14ac:dyDescent="0.2">
      <c r="A24" s="35" t="s">
        <v>268</v>
      </c>
      <c r="B24" s="51">
        <f>'P&amp;L'!$Z$15</f>
        <v>2092848.6849134532</v>
      </c>
      <c r="C24" s="51">
        <f>'P&amp;L'!$AA$15</f>
        <v>40000000</v>
      </c>
      <c r="D24" s="35" t="s">
        <v>164</v>
      </c>
      <c r="E24" s="35"/>
      <c r="F24" s="35"/>
      <c r="G24" s="35"/>
      <c r="H24" s="35"/>
      <c r="I24" s="35"/>
      <c r="J24" s="35"/>
      <c r="K24" s="35"/>
      <c r="L24" s="35"/>
      <c r="M24" s="35"/>
      <c r="N24" s="35"/>
    </row>
    <row r="25" spans="1:14" ht="20" customHeight="1" x14ac:dyDescent="0.2">
      <c r="A25" s="35" t="s">
        <v>269</v>
      </c>
      <c r="B25" s="51">
        <f>IFERROR(B24/'Operating Model'!$Z$9,0)</f>
        <v>9.5627675162927019</v>
      </c>
      <c r="C25" s="51">
        <f>IFERROR(C24/'Operating Model'!$AA$9,0)</f>
        <v>114.86608834177569</v>
      </c>
      <c r="D25" s="35" t="s">
        <v>270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</row>
    <row r="26" spans="1:14" ht="20" customHeight="1" x14ac:dyDescent="0.2">
      <c r="A26" s="41" t="s">
        <v>271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2"/>
      <c r="N26" s="42"/>
    </row>
    <row r="27" spans="1:14" ht="21" customHeight="1" x14ac:dyDescent="0.2">
      <c r="A27" s="103" t="s">
        <v>28</v>
      </c>
      <c r="B27" s="103" t="s">
        <v>3</v>
      </c>
      <c r="C27" s="103" t="s">
        <v>272</v>
      </c>
      <c r="D27" s="42"/>
      <c r="E27" s="35"/>
      <c r="F27" s="35"/>
      <c r="G27" s="35"/>
      <c r="H27" s="35"/>
      <c r="I27" s="35"/>
      <c r="J27" s="35"/>
      <c r="K27" s="35"/>
      <c r="L27" s="35"/>
      <c r="M27" s="35"/>
      <c r="N27" s="35"/>
    </row>
    <row r="28" spans="1:14" ht="40" customHeight="1" x14ac:dyDescent="0.2">
      <c r="A28" s="35" t="s">
        <v>273</v>
      </c>
      <c r="B28" s="80">
        <f>IF(COUNTIF('P&amp;L'!B20:Y20,"&gt;=0")=0,"Нет в горизонте",COUNTIF('P&amp;L'!B20:Y20,"&lt;0")+1)</f>
        <v>6</v>
      </c>
      <c r="C28" s="35" t="s">
        <v>274</v>
      </c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</row>
    <row r="29" spans="1:14" ht="20" customHeight="1" x14ac:dyDescent="0.2">
      <c r="A29" s="35" t="s">
        <v>275</v>
      </c>
      <c r="B29" s="80">
        <f>IF(COUNTIF('Cash Flow'!B20:Y20,"&gt;=0")=0,"Нет в горизонте",COUNTIF('Cash Flow'!B20:Y20,"&lt;0")+1)</f>
        <v>11</v>
      </c>
      <c r="C29" s="35" t="s">
        <v>276</v>
      </c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</row>
    <row r="30" spans="1:14" ht="40" customHeight="1" x14ac:dyDescent="0.2">
      <c r="A30" s="35" t="s">
        <v>277</v>
      </c>
      <c r="B30" s="80">
        <f>IF(COUNTIF('Cash Flow'!B23:Y23,"&gt;=0")=0,"Нет в горизонте",COUNTIF('Cash Flow'!B23:Y23,"&lt;0")+1)</f>
        <v>11</v>
      </c>
      <c r="C30" s="35" t="s">
        <v>278</v>
      </c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</row>
    <row r="31" spans="1:14" ht="20" customHeight="1" x14ac:dyDescent="0.2">
      <c r="A31" s="35" t="s">
        <v>247</v>
      </c>
      <c r="B31" s="61">
        <f>DCF!$B$23</f>
        <v>0.8624121986776071</v>
      </c>
      <c r="C31" s="35" t="s">
        <v>279</v>
      </c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</row>
    <row r="32" spans="1:14" ht="18" customHeight="1" x14ac:dyDescent="0.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</row>
    <row r="33" spans="1:26" ht="21" customHeight="1" x14ac:dyDescent="0.2">
      <c r="A33" s="103" t="s">
        <v>280</v>
      </c>
      <c r="B33" s="103" t="s">
        <v>281</v>
      </c>
      <c r="C33" s="103" t="s">
        <v>282</v>
      </c>
      <c r="D33" s="42"/>
      <c r="E33" s="35"/>
      <c r="F33" s="35"/>
      <c r="G33" s="35"/>
      <c r="H33" s="35"/>
      <c r="I33" s="35"/>
      <c r="J33" s="35"/>
      <c r="K33" s="35"/>
      <c r="L33" s="35"/>
      <c r="M33" s="35"/>
      <c r="N33" s="35"/>
    </row>
    <row r="34" spans="1:26" ht="21" customHeight="1" x14ac:dyDescent="0.2">
      <c r="A34" s="35" t="s">
        <v>283</v>
      </c>
      <c r="B34" s="105" t="str">
        <f>IF(ABS(Assumptions!B94)&lt;=1,"OK","CHECK")</f>
        <v>OK</v>
      </c>
      <c r="C34" s="35" t="s">
        <v>284</v>
      </c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</row>
    <row r="35" spans="1:26" ht="21" customHeight="1" x14ac:dyDescent="0.2">
      <c r="A35" s="35" t="s">
        <v>285</v>
      </c>
      <c r="B35" s="105" t="str">
        <f>IF(ABS(Assumptions!B95)&lt;=1,"OK","CHECK")</f>
        <v>OK</v>
      </c>
      <c r="C35" s="35" t="s">
        <v>286</v>
      </c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</row>
    <row r="36" spans="1:26" ht="21" customHeight="1" x14ac:dyDescent="0.2">
      <c r="A36" s="35" t="s">
        <v>287</v>
      </c>
      <c r="B36" s="105" t="str">
        <f>IF(ABS(Assumptions!B100)&lt;=1,"OK","CHECK")</f>
        <v>OK</v>
      </c>
      <c r="C36" s="35" t="s">
        <v>288</v>
      </c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</row>
    <row r="37" spans="1:26" ht="21" customHeight="1" x14ac:dyDescent="0.2">
      <c r="A37" s="35" t="s">
        <v>289</v>
      </c>
      <c r="B37" s="105" t="str">
        <f>IF(ABS(Assumptions!B101)&lt;=1,"OK","CHECK")</f>
        <v>OK</v>
      </c>
      <c r="C37" s="35" t="s">
        <v>290</v>
      </c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</row>
    <row r="38" spans="1:26" ht="18" customHeight="1" x14ac:dyDescent="0.2">
      <c r="A38" s="35" t="s">
        <v>291</v>
      </c>
      <c r="B38" s="105" t="str">
        <f>IF(ABS(Assumptions!B96)&lt;=1,"OK","CHECK")</f>
        <v>OK</v>
      </c>
      <c r="C38" s="35" t="s">
        <v>292</v>
      </c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</row>
    <row r="39" spans="1:26" ht="18" customHeight="1" x14ac:dyDescent="0.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</row>
    <row r="40" spans="1:26" ht="20" customHeight="1" x14ac:dyDescent="0.2">
      <c r="A40" s="41" t="s">
        <v>293</v>
      </c>
      <c r="B40" s="41"/>
      <c r="C40" s="41"/>
      <c r="D40" s="41"/>
      <c r="E40" s="41"/>
      <c r="F40" s="41"/>
      <c r="G40" s="41"/>
      <c r="H40" s="41"/>
      <c r="I40" s="41"/>
      <c r="J40" s="35"/>
      <c r="K40" s="35"/>
      <c r="L40" s="35"/>
      <c r="M40" s="35"/>
      <c r="N40" s="35"/>
    </row>
    <row r="41" spans="1:26" ht="21" customHeight="1" x14ac:dyDescent="0.2">
      <c r="A41" s="106" t="s">
        <v>28</v>
      </c>
      <c r="B41" s="106" t="s">
        <v>294</v>
      </c>
      <c r="C41" s="106" t="s">
        <v>295</v>
      </c>
      <c r="D41" s="106" t="s">
        <v>296</v>
      </c>
      <c r="E41" s="106" t="s">
        <v>272</v>
      </c>
      <c r="F41" s="35"/>
      <c r="G41" s="35"/>
      <c r="H41" s="35"/>
      <c r="I41" s="35"/>
      <c r="J41" s="35"/>
      <c r="K41" s="35"/>
      <c r="L41" s="35"/>
      <c r="M41" s="35"/>
      <c r="N41" s="35"/>
    </row>
    <row r="42" spans="1:26" ht="20" customHeight="1" x14ac:dyDescent="0.2">
      <c r="A42" s="35" t="s">
        <v>297</v>
      </c>
      <c r="B42" s="107">
        <v>440376.98633722903</v>
      </c>
      <c r="C42" s="108">
        <f>'Operating Model'!$AA$9</f>
        <v>348231.58494770806</v>
      </c>
      <c r="D42" s="70">
        <f t="shared" ref="D42:D49" si="0">IFERROR(C42/B42-1,0)</f>
        <v>-0.2092420908638456</v>
      </c>
      <c r="E42" s="35" t="s">
        <v>298</v>
      </c>
      <c r="F42" s="35"/>
      <c r="G42" s="35"/>
      <c r="H42" s="35"/>
      <c r="I42" s="35"/>
      <c r="J42" s="35"/>
      <c r="K42" s="35"/>
      <c r="L42" s="35"/>
      <c r="M42" s="35"/>
      <c r="N42" s="35"/>
    </row>
    <row r="43" spans="1:26" ht="20" customHeight="1" x14ac:dyDescent="0.2">
      <c r="A43" s="35" t="s">
        <v>258</v>
      </c>
      <c r="B43" s="107">
        <v>289771.28030536597</v>
      </c>
      <c r="C43" s="108">
        <f>'Operating Model'!$Y$18</f>
        <v>233478.03495273224</v>
      </c>
      <c r="D43" s="70">
        <f t="shared" si="0"/>
        <v>-0.19426785599080398</v>
      </c>
      <c r="E43" s="35" t="s">
        <v>299</v>
      </c>
      <c r="F43" s="35"/>
      <c r="G43" s="35"/>
      <c r="H43" s="35"/>
      <c r="I43" s="35"/>
      <c r="J43" s="35"/>
      <c r="K43" s="35"/>
      <c r="L43" s="35"/>
      <c r="M43" s="35"/>
      <c r="N43" s="35"/>
    </row>
    <row r="44" spans="1:26" ht="20" customHeight="1" x14ac:dyDescent="0.2">
      <c r="A44" s="35" t="s">
        <v>300</v>
      </c>
      <c r="B44" s="107">
        <v>34356.565950142998</v>
      </c>
      <c r="C44" s="108">
        <f>'Operating Model'!$Y$36</f>
        <v>18992.720921549779</v>
      </c>
      <c r="D44" s="70">
        <f t="shared" si="0"/>
        <v>-0.44718802952799974</v>
      </c>
      <c r="E44" s="35" t="s">
        <v>301</v>
      </c>
      <c r="F44" s="35"/>
      <c r="G44" s="35"/>
      <c r="H44" s="35"/>
      <c r="I44" s="35"/>
      <c r="J44" s="35"/>
      <c r="K44" s="35"/>
      <c r="L44" s="35"/>
      <c r="M44" s="35"/>
      <c r="N44" s="35"/>
    </row>
    <row r="45" spans="1:26" ht="20" customHeight="1" x14ac:dyDescent="0.2">
      <c r="A45" s="35" t="s">
        <v>302</v>
      </c>
      <c r="B45" s="107">
        <v>31294.885461542199</v>
      </c>
      <c r="C45" s="108">
        <f>'Operating Model'!$Y$44</f>
        <v>15438.407945972587</v>
      </c>
      <c r="D45" s="70">
        <f t="shared" si="0"/>
        <v>-0.50667951908804376</v>
      </c>
      <c r="E45" s="35" t="s">
        <v>301</v>
      </c>
      <c r="F45" s="35"/>
      <c r="G45" s="35"/>
      <c r="H45" s="35"/>
      <c r="I45" s="35"/>
      <c r="J45" s="35"/>
      <c r="K45" s="35"/>
      <c r="L45" s="35"/>
      <c r="M45" s="35"/>
      <c r="N45" s="35"/>
    </row>
    <row r="46" spans="1:26" ht="20" customHeight="1" x14ac:dyDescent="0.2">
      <c r="A46" s="35" t="s">
        <v>303</v>
      </c>
      <c r="B46" s="109">
        <v>969045101.25496697</v>
      </c>
      <c r="C46" s="110">
        <f>'P&amp;L'!$AA$9</f>
        <v>468574734.29809672</v>
      </c>
      <c r="D46" s="70">
        <f t="shared" si="0"/>
        <v>-0.5164572487996002</v>
      </c>
      <c r="E46" s="35" t="s">
        <v>304</v>
      </c>
      <c r="F46" s="35"/>
      <c r="G46" s="35"/>
      <c r="H46" s="35"/>
      <c r="I46" s="35"/>
      <c r="J46" s="35"/>
      <c r="K46" s="35"/>
      <c r="L46" s="35"/>
      <c r="M46" s="35"/>
      <c r="N46" s="35"/>
    </row>
    <row r="47" spans="1:26" ht="40" customHeight="1" x14ac:dyDescent="0.2">
      <c r="A47" s="35" t="s">
        <v>305</v>
      </c>
      <c r="B47" s="109">
        <v>82307481.281945407</v>
      </c>
      <c r="C47" s="110">
        <f>'P&amp;L'!$AA$19</f>
        <v>95016288.1749724</v>
      </c>
      <c r="D47" s="70">
        <f t="shared" si="0"/>
        <v>0.15440646093266785</v>
      </c>
      <c r="E47" s="35" t="s">
        <v>306</v>
      </c>
      <c r="F47" s="35"/>
      <c r="G47" s="35"/>
      <c r="H47" s="35"/>
      <c r="I47" s="35"/>
      <c r="J47" s="35"/>
      <c r="K47" s="35"/>
      <c r="L47" s="35"/>
      <c r="M47" s="35"/>
      <c r="N47" s="35"/>
    </row>
    <row r="48" spans="1:26" ht="20" customHeight="1" x14ac:dyDescent="0.2">
      <c r="A48" s="35" t="s">
        <v>307</v>
      </c>
      <c r="B48" s="109">
        <v>886737619.97302198</v>
      </c>
      <c r="C48" s="110">
        <f>'P&amp;L'!$AA$20</f>
        <v>373558446.12312436</v>
      </c>
      <c r="D48" s="70">
        <f t="shared" si="0"/>
        <v>-0.57872719313015109</v>
      </c>
      <c r="E48" s="35" t="s">
        <v>308</v>
      </c>
      <c r="F48" s="35"/>
      <c r="G48" s="35"/>
      <c r="H48" s="35"/>
      <c r="I48" s="35"/>
      <c r="J48" s="35"/>
      <c r="K48" s="35"/>
      <c r="L48" s="35"/>
      <c r="M48" s="35"/>
      <c r="N48" s="35"/>
      <c r="W48" s="81"/>
      <c r="X48" s="81"/>
      <c r="Y48" s="81"/>
      <c r="Z48" s="81"/>
    </row>
    <row r="49" spans="1:26" ht="20" customHeight="1" x14ac:dyDescent="0.2">
      <c r="A49" s="35" t="s">
        <v>219</v>
      </c>
      <c r="B49" s="109">
        <v>4013664841.8285098</v>
      </c>
      <c r="C49" s="110">
        <f>DCF!$B$22</f>
        <v>1689002291.0172539</v>
      </c>
      <c r="D49" s="70">
        <f t="shared" si="0"/>
        <v>-0.579187012972465</v>
      </c>
      <c r="E49" s="35" t="s">
        <v>309</v>
      </c>
      <c r="F49" s="35"/>
      <c r="G49" s="35"/>
      <c r="H49" s="35"/>
      <c r="I49" s="35"/>
      <c r="J49" s="35"/>
      <c r="K49" s="35"/>
      <c r="L49" s="35"/>
      <c r="M49" s="35"/>
      <c r="N49" s="35"/>
      <c r="W49" s="81"/>
      <c r="X49" s="81"/>
      <c r="Y49" s="81"/>
      <c r="Z49" s="81"/>
    </row>
    <row r="50" spans="1:26" ht="18" customHeight="1" x14ac:dyDescent="0.2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W50" s="81"/>
      <c r="X50" s="81"/>
      <c r="Y50" s="81"/>
      <c r="Z50" s="81"/>
    </row>
    <row r="51" spans="1:26" ht="18" customHeight="1" x14ac:dyDescent="0.2">
      <c r="W51" s="81"/>
      <c r="X51" s="81"/>
      <c r="Y51" s="81"/>
      <c r="Z51" s="81"/>
    </row>
    <row r="52" spans="1:26" ht="18" customHeight="1" x14ac:dyDescent="0.2">
      <c r="W52" s="81"/>
      <c r="X52" s="83" t="s">
        <v>28</v>
      </c>
      <c r="Y52" s="83" t="s">
        <v>76</v>
      </c>
      <c r="Z52" s="83" t="s">
        <v>77</v>
      </c>
    </row>
    <row r="53" spans="1:26" ht="18" customHeight="1" x14ac:dyDescent="0.2">
      <c r="W53" s="81"/>
      <c r="X53" s="111" t="s">
        <v>265</v>
      </c>
      <c r="Y53" s="112">
        <f t="shared" ref="Y53:Z57" si="1">B16/1000000</f>
        <v>66.622722779000199</v>
      </c>
      <c r="Z53" s="112">
        <f t="shared" si="1"/>
        <v>468.5747342980967</v>
      </c>
    </row>
    <row r="54" spans="1:26" ht="18" customHeight="1" x14ac:dyDescent="0.2">
      <c r="W54" s="81"/>
      <c r="X54" s="111" t="s">
        <v>266</v>
      </c>
      <c r="Y54" s="112">
        <f t="shared" si="1"/>
        <v>36.512146216350601</v>
      </c>
      <c r="Z54" s="112">
        <f t="shared" si="1"/>
        <v>95.016288174972402</v>
      </c>
    </row>
    <row r="55" spans="1:26" ht="18" customHeight="1" x14ac:dyDescent="0.2">
      <c r="W55" s="81"/>
      <c r="X55" s="111" t="s">
        <v>172</v>
      </c>
      <c r="Y55" s="112">
        <f t="shared" si="1"/>
        <v>30.110576562649602</v>
      </c>
      <c r="Z55" s="112">
        <f t="shared" si="1"/>
        <v>373.55844612312438</v>
      </c>
    </row>
    <row r="56" spans="1:26" ht="18" customHeight="1" x14ac:dyDescent="0.2">
      <c r="W56" s="81"/>
      <c r="X56" s="111" t="s">
        <v>177</v>
      </c>
      <c r="Y56" s="112">
        <f t="shared" si="1"/>
        <v>19.28452378607221</v>
      </c>
      <c r="Z56" s="112">
        <f t="shared" si="1"/>
        <v>295.64675689849946</v>
      </c>
    </row>
    <row r="57" spans="1:26" ht="18" customHeight="1" x14ac:dyDescent="0.2">
      <c r="W57" s="81"/>
      <c r="X57" s="111" t="s">
        <v>196</v>
      </c>
      <c r="Y57" s="112">
        <f t="shared" si="1"/>
        <v>15.284523786072212</v>
      </c>
      <c r="Z57" s="112">
        <f t="shared" si="1"/>
        <v>299.64675689849946</v>
      </c>
    </row>
    <row r="58" spans="1:26" ht="18" customHeight="1" x14ac:dyDescent="0.2">
      <c r="W58" s="81"/>
      <c r="X58" s="81"/>
      <c r="Y58" s="81"/>
      <c r="Z58" s="81"/>
    </row>
    <row r="59" spans="1:26" ht="18" customHeight="1" x14ac:dyDescent="0.2">
      <c r="W59" s="81"/>
      <c r="X59" s="81"/>
      <c r="Y59" s="81"/>
      <c r="Z59" s="81"/>
    </row>
    <row r="60" spans="1:26" ht="18" customHeight="1" x14ac:dyDescent="0.2">
      <c r="W60" s="81"/>
      <c r="X60" s="81"/>
      <c r="Y60" s="81"/>
      <c r="Z60" s="81"/>
    </row>
    <row r="61" spans="1:26" ht="18" customHeight="1" x14ac:dyDescent="0.2">
      <c r="W61" s="81"/>
      <c r="X61" s="81"/>
      <c r="Y61" s="81"/>
      <c r="Z61" s="81"/>
    </row>
    <row r="62" spans="1:26" ht="18" customHeight="1" x14ac:dyDescent="0.2">
      <c r="W62" s="81"/>
      <c r="X62" s="81"/>
      <c r="Y62" s="81"/>
      <c r="Z62" s="81"/>
    </row>
    <row r="63" spans="1:26" ht="18" customHeight="1" x14ac:dyDescent="0.2">
      <c r="W63" s="81"/>
      <c r="X63" s="81"/>
      <c r="Y63" s="81"/>
      <c r="Z63" s="81"/>
    </row>
    <row r="64" spans="1:26" ht="18" customHeight="1" x14ac:dyDescent="0.2">
      <c r="W64" s="81"/>
      <c r="X64" s="81"/>
      <c r="Y64" s="81"/>
      <c r="Z64" s="81"/>
    </row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</sheetData>
  <mergeCells count="16">
    <mergeCell ref="A4:C4"/>
    <mergeCell ref="D4:F4"/>
    <mergeCell ref="G4:I4"/>
    <mergeCell ref="J4:L4"/>
    <mergeCell ref="A5:C7"/>
    <mergeCell ref="D5:F7"/>
    <mergeCell ref="G5:I7"/>
    <mergeCell ref="J5:L7"/>
    <mergeCell ref="A9:C9"/>
    <mergeCell ref="D9:F9"/>
    <mergeCell ref="G9:I9"/>
    <mergeCell ref="J9:L9"/>
    <mergeCell ref="A10:C12"/>
    <mergeCell ref="D10:F12"/>
    <mergeCell ref="G10:I12"/>
    <mergeCell ref="J10:L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Assumptions</vt:lpstr>
      <vt:lpstr>Operating Model</vt:lpstr>
      <vt:lpstr>Banking Revenue</vt:lpstr>
      <vt:lpstr>Costs</vt:lpstr>
      <vt:lpstr>P&amp;L</vt:lpstr>
      <vt:lpstr>Cash Flow</vt:lpstr>
      <vt:lpstr>DCF</vt:lpstr>
      <vt:lpstr>Scenarios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Luka Ilchakov</cp:lastModifiedBy>
  <dcterms:created xsi:type="dcterms:W3CDTF">2026-08-14T09:25:53Z</dcterms:created>
  <dcterms:modified xsi:type="dcterms:W3CDTF">2026-08-14T09:30:21Z</dcterms:modified>
</cp:coreProperties>
</file>